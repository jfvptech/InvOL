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prieto\Documents\Horarios Support Leading\"/>
    </mc:Choice>
  </mc:AlternateContent>
  <xr:revisionPtr revIDLastSave="0" documentId="11_2DA9EDD2C1B873A083DA15AD96DD0F9CB0512ACF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Horarios Marzo" sheetId="3" r:id="rId1"/>
  </sheets>
  <definedNames>
    <definedName name="Estado" localSheetId="0">#REF!</definedName>
    <definedName name="Estado">#REF!</definedName>
    <definedName name="TIpo" localSheetId="0">#REF!</definedName>
    <definedName name="TIpo">#REF!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2" i="3" l="1"/>
  <c r="AA61" i="3"/>
  <c r="AA60" i="3"/>
  <c r="AA59" i="3"/>
  <c r="AA58" i="3"/>
  <c r="AA57" i="3"/>
  <c r="AA56" i="3"/>
  <c r="V62" i="3"/>
  <c r="V61" i="3"/>
  <c r="V60" i="3"/>
  <c r="V59" i="3"/>
  <c r="V58" i="3"/>
  <c r="V57" i="3"/>
  <c r="V56" i="3"/>
  <c r="Q62" i="3"/>
  <c r="Q61" i="3"/>
  <c r="Q59" i="3"/>
  <c r="Q58" i="3"/>
  <c r="Q57" i="3"/>
  <c r="Q56" i="3"/>
  <c r="L62" i="3"/>
  <c r="L61" i="3"/>
  <c r="L60" i="3"/>
  <c r="L59" i="3"/>
  <c r="L58" i="3"/>
  <c r="L57" i="3"/>
  <c r="L56" i="3"/>
  <c r="G56" i="3"/>
  <c r="G57" i="3"/>
  <c r="G58" i="3"/>
  <c r="G59" i="3"/>
  <c r="G60" i="3"/>
  <c r="G61" i="3"/>
  <c r="G62" i="3"/>
  <c r="AA49" i="3"/>
  <c r="AA48" i="3"/>
  <c r="AA47" i="3"/>
  <c r="AA46" i="3"/>
  <c r="AA45" i="3"/>
  <c r="AA44" i="3"/>
  <c r="AA43" i="3"/>
  <c r="V49" i="3"/>
  <c r="V48" i="3"/>
  <c r="V47" i="3"/>
  <c r="V46" i="3"/>
  <c r="V45" i="3"/>
  <c r="V44" i="3"/>
  <c r="V43" i="3"/>
  <c r="Q49" i="3"/>
  <c r="Q48" i="3"/>
  <c r="Q47" i="3"/>
  <c r="Q46" i="3"/>
  <c r="Q45" i="3"/>
  <c r="Q44" i="3"/>
  <c r="Q43" i="3"/>
  <c r="L46" i="3"/>
  <c r="G49" i="3"/>
  <c r="G48" i="3"/>
  <c r="G47" i="3"/>
  <c r="G46" i="3"/>
  <c r="G45" i="3"/>
  <c r="G43" i="3"/>
  <c r="AA36" i="3"/>
  <c r="AA35" i="3"/>
  <c r="AA33" i="3"/>
  <c r="AA32" i="3"/>
  <c r="AA30" i="3"/>
  <c r="V36" i="3"/>
  <c r="V35" i="3"/>
  <c r="V33" i="3"/>
  <c r="V32" i="3"/>
  <c r="V30" i="3"/>
  <c r="Q36" i="3"/>
  <c r="Q35" i="3"/>
  <c r="Q33" i="3"/>
  <c r="Q32" i="3"/>
  <c r="Q30" i="3"/>
  <c r="L30" i="3"/>
  <c r="L32" i="3"/>
  <c r="L33" i="3"/>
  <c r="L34" i="3"/>
  <c r="L35" i="3"/>
  <c r="L36" i="3"/>
  <c r="AA24" i="3"/>
  <c r="AA23" i="3"/>
  <c r="AA22" i="3"/>
  <c r="AA21" i="3"/>
  <c r="AA20" i="3"/>
  <c r="AA18" i="3"/>
  <c r="V24" i="3"/>
  <c r="V23" i="3"/>
  <c r="V22" i="3"/>
  <c r="V21" i="3"/>
  <c r="V20" i="3"/>
  <c r="V18" i="3"/>
  <c r="Q24" i="3"/>
  <c r="Q23" i="3"/>
  <c r="Q22" i="3"/>
  <c r="Q21" i="3"/>
  <c r="Q20" i="3"/>
  <c r="Q18" i="3"/>
  <c r="L24" i="3"/>
  <c r="L23" i="3"/>
  <c r="L22" i="3"/>
  <c r="L21" i="3"/>
  <c r="L20" i="3"/>
  <c r="L18" i="3"/>
  <c r="G20" i="3"/>
  <c r="G21" i="3"/>
  <c r="G22" i="3"/>
  <c r="G23" i="3"/>
  <c r="G24" i="3"/>
  <c r="G18" i="3"/>
  <c r="G8" i="3"/>
  <c r="G6" i="3"/>
  <c r="AA12" i="3"/>
  <c r="AA11" i="3"/>
  <c r="AA10" i="3"/>
  <c r="AA9" i="3"/>
  <c r="AA8" i="3"/>
  <c r="AA6" i="3"/>
  <c r="V12" i="3"/>
  <c r="V11" i="3"/>
  <c r="V10" i="3"/>
  <c r="V9" i="3"/>
  <c r="V8" i="3"/>
  <c r="V6" i="3"/>
  <c r="Q12" i="3"/>
  <c r="Q11" i="3"/>
  <c r="Q10" i="3"/>
  <c r="Q9" i="3"/>
  <c r="Q8" i="3"/>
  <c r="Q6" i="3"/>
  <c r="L12" i="3"/>
  <c r="L11" i="3"/>
  <c r="L10" i="3"/>
  <c r="L9" i="3"/>
  <c r="L8" i="3"/>
  <c r="L6" i="3"/>
  <c r="G12" i="3"/>
  <c r="G9" i="3"/>
  <c r="G33" i="3" l="1"/>
  <c r="G30" i="3"/>
  <c r="G31" i="3"/>
  <c r="G32" i="3"/>
  <c r="G34" i="3"/>
  <c r="G35" i="3"/>
  <c r="G36" i="3"/>
  <c r="G11" i="3"/>
  <c r="G10" i="3"/>
  <c r="AD36" i="3" l="1"/>
  <c r="AD35" i="3"/>
  <c r="AD34" i="3"/>
  <c r="AD33" i="3"/>
  <c r="AD32" i="3"/>
  <c r="AD31" i="3"/>
  <c r="AD30" i="3"/>
  <c r="AD24" i="3"/>
  <c r="AD23" i="3"/>
  <c r="AD22" i="3"/>
  <c r="AD21" i="3"/>
  <c r="AD20" i="3"/>
  <c r="AD19" i="3"/>
  <c r="AD18" i="3"/>
  <c r="AG12" i="3" l="1"/>
  <c r="AD12" i="3"/>
  <c r="AG11" i="3"/>
  <c r="AD11" i="3"/>
  <c r="AG10" i="3"/>
  <c r="AD10" i="3"/>
  <c r="AG9" i="3"/>
  <c r="AD9" i="3"/>
  <c r="AG8" i="3"/>
  <c r="AD8" i="3"/>
  <c r="AG7" i="3"/>
  <c r="AD7" i="3"/>
  <c r="AG6" i="3"/>
  <c r="AD6" i="3"/>
  <c r="AB3" i="3"/>
  <c r="AE3" i="3" s="1"/>
  <c r="H3" i="3"/>
  <c r="M3" i="3" s="1"/>
  <c r="AH12" i="3" l="1"/>
  <c r="AH10" i="3"/>
  <c r="AH9" i="3"/>
  <c r="AH11" i="3"/>
  <c r="AH8" i="3"/>
  <c r="AH7" i="3"/>
  <c r="AH6" i="3"/>
  <c r="AG62" i="3"/>
  <c r="AD62" i="3"/>
  <c r="AG61" i="3"/>
  <c r="AD61" i="3"/>
  <c r="AG60" i="3"/>
  <c r="AD60" i="3"/>
  <c r="AG59" i="3"/>
  <c r="AD59" i="3"/>
  <c r="AG58" i="3"/>
  <c r="AD58" i="3"/>
  <c r="AG57" i="3"/>
  <c r="AD57" i="3"/>
  <c r="AG56" i="3"/>
  <c r="AD56" i="3"/>
  <c r="AG49" i="3"/>
  <c r="AD49" i="3"/>
  <c r="L49" i="3"/>
  <c r="AG48" i="3"/>
  <c r="AD48" i="3"/>
  <c r="L48" i="3"/>
  <c r="AG47" i="3"/>
  <c r="AD47" i="3"/>
  <c r="L47" i="3"/>
  <c r="AG46" i="3"/>
  <c r="AD46" i="3"/>
  <c r="AG45" i="3"/>
  <c r="AD45" i="3"/>
  <c r="L45" i="3"/>
  <c r="AG44" i="3"/>
  <c r="AD44" i="3"/>
  <c r="L44" i="3"/>
  <c r="AG43" i="3"/>
  <c r="AD43" i="3"/>
  <c r="L43" i="3"/>
  <c r="AG36" i="3"/>
  <c r="AG35" i="3"/>
  <c r="AG34" i="3"/>
  <c r="AG33" i="3"/>
  <c r="AG32" i="3"/>
  <c r="AG31" i="3"/>
  <c r="AG30" i="3"/>
  <c r="M53" i="3"/>
  <c r="AE53" i="3" s="1"/>
  <c r="H40" i="3"/>
  <c r="M40" i="3" s="1"/>
  <c r="R40" i="3" s="1"/>
  <c r="W40" i="3" s="1"/>
  <c r="AB40" i="3" s="1"/>
  <c r="AE40" i="3" s="1"/>
  <c r="H27" i="3"/>
  <c r="M27" i="3" s="1"/>
  <c r="R27" i="3" s="1"/>
  <c r="W27" i="3" s="1"/>
  <c r="AB27" i="3" s="1"/>
  <c r="AE27" i="3" s="1"/>
  <c r="AG24" i="3"/>
  <c r="AG23" i="3"/>
  <c r="AG22" i="3"/>
  <c r="AG21" i="3"/>
  <c r="AH21" i="3" s="1"/>
  <c r="AG20" i="3"/>
  <c r="AG19" i="3"/>
  <c r="AH19" i="3" s="1"/>
  <c r="AG18" i="3"/>
  <c r="H15" i="3"/>
  <c r="M15" i="3" s="1"/>
  <c r="R15" i="3" s="1"/>
  <c r="W15" i="3" s="1"/>
  <c r="AB15" i="3" s="1"/>
  <c r="AE15" i="3" s="1"/>
  <c r="AH44" i="3" l="1"/>
  <c r="AH57" i="3"/>
  <c r="AH56" i="3"/>
  <c r="AH58" i="3"/>
  <c r="AH59" i="3"/>
  <c r="AH60" i="3"/>
  <c r="AH61" i="3"/>
  <c r="AH62" i="3"/>
  <c r="AH48" i="3"/>
  <c r="AH32" i="3"/>
  <c r="AH49" i="3"/>
  <c r="AH20" i="3"/>
  <c r="AH47" i="3"/>
  <c r="AH46" i="3"/>
  <c r="AH45" i="3"/>
  <c r="AH43" i="3"/>
  <c r="AH31" i="3"/>
  <c r="AH30" i="3"/>
  <c r="AH18" i="3"/>
  <c r="AH24" i="3"/>
  <c r="AH23" i="3"/>
  <c r="AH35" i="3"/>
  <c r="AH36" i="3"/>
  <c r="AH22" i="3"/>
  <c r="AH34" i="3"/>
  <c r="AH33" i="3"/>
</calcChain>
</file>

<file path=xl/sharedStrings.xml><?xml version="1.0" encoding="utf-8"?>
<sst xmlns="http://schemas.openxmlformats.org/spreadsheetml/2006/main" count="254" uniqueCount="23">
  <si>
    <t>LUNES</t>
  </si>
  <si>
    <t>MARTES</t>
  </si>
  <si>
    <t>MIERCOLES</t>
  </si>
  <si>
    <t>JUEVES</t>
  </si>
  <si>
    <t>VIERNES</t>
  </si>
  <si>
    <t>SABADO</t>
  </si>
  <si>
    <t>DOMINGO</t>
  </si>
  <si>
    <t>NOMBRE ANALISTA</t>
  </si>
  <si>
    <t>INGRESO</t>
  </si>
  <si>
    <t>OUT ALM</t>
  </si>
  <si>
    <t>IN ALM</t>
  </si>
  <si>
    <t>SALIDA</t>
  </si>
  <si>
    <t>TOTAL</t>
  </si>
  <si>
    <t>TOTAL SEMANA</t>
  </si>
  <si>
    <t>Jeisson Lozano</t>
  </si>
  <si>
    <t>Oscar Reyes</t>
  </si>
  <si>
    <t>VACACIONES</t>
  </si>
  <si>
    <t>Liz Uribe</t>
  </si>
  <si>
    <t>Julian Vargas</t>
  </si>
  <si>
    <t>Howard Quiñonez</t>
  </si>
  <si>
    <t>Daniel Herrera</t>
  </si>
  <si>
    <t>Vanessa Sandoval</t>
  </si>
  <si>
    <t>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</si>
</sst>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56">
    <xf numFmtId="0" fontId="0" fillId="0" borderId="0" xfId="0"/>
    <xf numFmtId="0" fontId="2" fillId="0" borderId="0" xfId="2"/>
    <xf numFmtId="0" fontId="2" fillId="0" borderId="4" xfId="2" applyBorder="1"/>
    <xf numFmtId="0" fontId="2" fillId="0" borderId="0" xfId="2" applyAlignment="1">
      <alignment horizontal="left"/>
    </xf>
    <xf numFmtId="0" fontId="6" fillId="0" borderId="17" xfId="2" applyFont="1" applyBorder="1" applyAlignment="1">
      <alignment vertical="center"/>
    </xf>
    <xf numFmtId="20" fontId="7" fillId="0" borderId="2" xfId="2" applyNumberFormat="1" applyFont="1" applyBorder="1" applyAlignment="1">
      <alignment horizontal="center" vertical="center" wrapText="1"/>
    </xf>
    <xf numFmtId="20" fontId="7" fillId="4" borderId="6" xfId="2" applyNumberFormat="1" applyFont="1" applyFill="1" applyBorder="1" applyAlignment="1">
      <alignment horizontal="center" vertical="center" wrapText="1"/>
    </xf>
    <xf numFmtId="20" fontId="7" fillId="0" borderId="6" xfId="2" applyNumberFormat="1" applyFont="1" applyBorder="1" applyAlignment="1">
      <alignment horizontal="center" vertical="center" wrapText="1"/>
    </xf>
    <xf numFmtId="21" fontId="7" fillId="5" borderId="7" xfId="2" applyNumberFormat="1" applyFont="1" applyFill="1" applyBorder="1" applyAlignment="1">
      <alignment horizontal="center" vertical="center" wrapText="1"/>
    </xf>
    <xf numFmtId="20" fontId="3" fillId="0" borderId="6" xfId="1" applyNumberFormat="1" applyFont="1" applyFill="1" applyBorder="1" applyAlignment="1">
      <alignment horizontal="center" vertical="center" wrapText="1"/>
    </xf>
    <xf numFmtId="21" fontId="7" fillId="5" borderId="7" xfId="2" applyNumberFormat="1" applyFont="1" applyFill="1" applyBorder="1" applyAlignment="1">
      <alignment vertical="center" wrapText="1"/>
    </xf>
    <xf numFmtId="20" fontId="3" fillId="0" borderId="2" xfId="1" applyNumberFormat="1" applyFont="1" applyFill="1" applyBorder="1" applyAlignment="1">
      <alignment horizontal="center" vertical="center" wrapText="1"/>
    </xf>
    <xf numFmtId="46" fontId="2" fillId="5" borderId="3" xfId="2" applyNumberFormat="1" applyFill="1" applyBorder="1" applyAlignment="1">
      <alignment horizontal="center" vertical="center"/>
    </xf>
    <xf numFmtId="20" fontId="7" fillId="6" borderId="6" xfId="2" applyNumberFormat="1" applyFont="1" applyFill="1" applyBorder="1" applyAlignment="1">
      <alignment horizontal="center" vertical="center" wrapText="1"/>
    </xf>
    <xf numFmtId="20" fontId="3" fillId="0" borderId="8" xfId="1" applyNumberFormat="1" applyFont="1" applyFill="1" applyBorder="1" applyAlignment="1">
      <alignment horizontal="center" vertical="center" wrapText="1"/>
    </xf>
    <xf numFmtId="20" fontId="3" fillId="0" borderId="9" xfId="1" applyNumberFormat="1" applyFont="1" applyFill="1" applyBorder="1" applyAlignment="1">
      <alignment horizontal="center" vertical="center" wrapText="1"/>
    </xf>
    <xf numFmtId="0" fontId="4" fillId="3" borderId="23" xfId="2" applyFont="1" applyFill="1" applyBorder="1"/>
    <xf numFmtId="0" fontId="5" fillId="3" borderId="5" xfId="2" applyFont="1" applyFill="1" applyBorder="1" applyAlignment="1">
      <alignment horizontal="center" vertical="center"/>
    </xf>
    <xf numFmtId="21" fontId="7" fillId="5" borderId="10" xfId="2" applyNumberFormat="1" applyFont="1" applyFill="1" applyBorder="1" applyAlignment="1">
      <alignment vertical="center" wrapText="1"/>
    </xf>
    <xf numFmtId="46" fontId="2" fillId="5" borderId="22" xfId="2" applyNumberFormat="1" applyFill="1" applyBorder="1" applyAlignment="1">
      <alignment horizontal="center" vertical="center"/>
    </xf>
    <xf numFmtId="0" fontId="5" fillId="3" borderId="24" xfId="2" applyFont="1" applyFill="1" applyBorder="1" applyAlignment="1">
      <alignment horizontal="center" vertical="center"/>
    </xf>
    <xf numFmtId="0" fontId="5" fillId="3" borderId="25" xfId="2" applyFont="1" applyFill="1" applyBorder="1" applyAlignment="1">
      <alignment horizontal="center"/>
    </xf>
    <xf numFmtId="0" fontId="5" fillId="3" borderId="26" xfId="2" applyFont="1" applyFill="1" applyBorder="1"/>
    <xf numFmtId="0" fontId="5" fillId="3" borderId="25" xfId="2" applyFont="1" applyFill="1" applyBorder="1"/>
    <xf numFmtId="0" fontId="5" fillId="3" borderId="4" xfId="2" applyFont="1" applyFill="1" applyBorder="1" applyAlignment="1">
      <alignment horizontal="center" vertical="center"/>
    </xf>
    <xf numFmtId="0" fontId="5" fillId="3" borderId="24" xfId="2" applyFont="1" applyFill="1" applyBorder="1"/>
    <xf numFmtId="0" fontId="5" fillId="3" borderId="27" xfId="2" applyFont="1" applyFill="1" applyBorder="1" applyAlignment="1">
      <alignment horizontal="center" vertical="center"/>
    </xf>
    <xf numFmtId="0" fontId="5" fillId="3" borderId="28" xfId="2" applyFont="1" applyFill="1" applyBorder="1" applyAlignment="1">
      <alignment horizontal="center" vertical="center"/>
    </xf>
    <xf numFmtId="21" fontId="7" fillId="5" borderId="1" xfId="2" applyNumberFormat="1" applyFont="1" applyFill="1" applyBorder="1" applyAlignment="1">
      <alignment vertical="center" wrapText="1"/>
    </xf>
    <xf numFmtId="46" fontId="2" fillId="5" borderId="13" xfId="2" applyNumberFormat="1" applyFill="1" applyBorder="1" applyAlignment="1">
      <alignment horizontal="center" vertical="center"/>
    </xf>
    <xf numFmtId="0" fontId="6" fillId="0" borderId="17" xfId="2" applyFont="1" applyFill="1" applyBorder="1" applyAlignment="1">
      <alignment vertical="center"/>
    </xf>
    <xf numFmtId="20" fontId="7" fillId="0" borderId="17" xfId="2" applyNumberFormat="1" applyFont="1" applyBorder="1" applyAlignment="1">
      <alignment vertical="center" wrapText="1"/>
    </xf>
    <xf numFmtId="20" fontId="7" fillId="0" borderId="29" xfId="2" applyNumberFormat="1" applyFont="1" applyBorder="1" applyAlignment="1">
      <alignment vertical="center" wrapText="1"/>
    </xf>
    <xf numFmtId="20" fontId="8" fillId="0" borderId="2" xfId="0" applyNumberFormat="1" applyFont="1" applyBorder="1" applyAlignment="1">
      <alignment horizontal="center" vertical="center" wrapText="1"/>
    </xf>
    <xf numFmtId="20" fontId="8" fillId="7" borderId="6" xfId="0" applyNumberFormat="1" applyFont="1" applyFill="1" applyBorder="1" applyAlignment="1">
      <alignment horizontal="center" vertical="center" wrapText="1"/>
    </xf>
    <xf numFmtId="20" fontId="8" fillId="0" borderId="6" xfId="0" applyNumberFormat="1" applyFont="1" applyBorder="1" applyAlignment="1">
      <alignment horizontal="center" vertical="center" wrapText="1"/>
    </xf>
    <xf numFmtId="20" fontId="8" fillId="0" borderId="17" xfId="0" applyNumberFormat="1" applyFont="1" applyBorder="1" applyAlignment="1">
      <alignment horizontal="center" vertical="center" wrapText="1"/>
    </xf>
    <xf numFmtId="20" fontId="8" fillId="8" borderId="6" xfId="0" applyNumberFormat="1" applyFont="1" applyFill="1" applyBorder="1" applyAlignment="1">
      <alignment horizontal="center" vertical="center" wrapText="1"/>
    </xf>
    <xf numFmtId="20" fontId="7" fillId="0" borderId="17" xfId="2" applyNumberFormat="1" applyFont="1" applyBorder="1" applyAlignment="1">
      <alignment horizontal="center" vertical="center" wrapText="1"/>
    </xf>
    <xf numFmtId="0" fontId="4" fillId="3" borderId="18" xfId="2" applyFont="1" applyFill="1" applyBorder="1" applyAlignment="1">
      <alignment horizontal="center"/>
    </xf>
    <xf numFmtId="0" fontId="4" fillId="3" borderId="21" xfId="2" applyFont="1" applyFill="1" applyBorder="1" applyAlignment="1">
      <alignment horizontal="center"/>
    </xf>
    <xf numFmtId="0" fontId="4" fillId="3" borderId="22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center"/>
    </xf>
    <xf numFmtId="0" fontId="4" fillId="3" borderId="15" xfId="2" applyFont="1" applyFill="1" applyBorder="1" applyAlignment="1">
      <alignment horizontal="center"/>
    </xf>
    <xf numFmtId="0" fontId="4" fillId="3" borderId="16" xfId="2" applyFont="1" applyFill="1" applyBorder="1" applyAlignment="1">
      <alignment horizontal="center"/>
    </xf>
    <xf numFmtId="0" fontId="4" fillId="3" borderId="15" xfId="2" applyFont="1" applyFill="1" applyBorder="1" applyAlignment="1">
      <alignment horizontal="center" vertical="center"/>
    </xf>
    <xf numFmtId="0" fontId="4" fillId="3" borderId="14" xfId="2" applyFont="1" applyFill="1" applyBorder="1" applyAlignment="1">
      <alignment horizontal="center" vertical="center"/>
    </xf>
    <xf numFmtId="0" fontId="4" fillId="3" borderId="16" xfId="2" applyFont="1" applyFill="1" applyBorder="1" applyAlignment="1">
      <alignment horizontal="center" vertical="center"/>
    </xf>
    <xf numFmtId="0" fontId="4" fillId="3" borderId="11" xfId="2" applyFont="1" applyFill="1" applyBorder="1" applyAlignment="1">
      <alignment horizontal="center"/>
    </xf>
    <xf numFmtId="0" fontId="4" fillId="3" borderId="12" xfId="2" applyFont="1" applyFill="1" applyBorder="1" applyAlignment="1">
      <alignment horizontal="center"/>
    </xf>
    <xf numFmtId="0" fontId="4" fillId="3" borderId="13" xfId="2" applyFont="1" applyFill="1" applyBorder="1" applyAlignment="1">
      <alignment horizontal="center"/>
    </xf>
    <xf numFmtId="0" fontId="4" fillId="3" borderId="19" xfId="2" applyFont="1" applyFill="1" applyBorder="1" applyAlignment="1">
      <alignment horizontal="center"/>
    </xf>
    <xf numFmtId="0" fontId="4" fillId="3" borderId="20" xfId="2" applyFont="1" applyFill="1" applyBorder="1" applyAlignment="1">
      <alignment horizontal="center"/>
    </xf>
    <xf numFmtId="20" fontId="7" fillId="0" borderId="17" xfId="2" applyNumberFormat="1" applyFont="1" applyBorder="1" applyAlignment="1">
      <alignment horizontal="center" vertical="center" wrapText="1"/>
    </xf>
    <xf numFmtId="20" fontId="7" fillId="0" borderId="29" xfId="2" applyNumberFormat="1" applyFont="1" applyBorder="1" applyAlignment="1">
      <alignment horizontal="center" vertical="center" wrapText="1"/>
    </xf>
    <xf numFmtId="20" fontId="7" fillId="0" borderId="3" xfId="2" applyNumberFormat="1" applyFont="1" applyBorder="1" applyAlignment="1">
      <alignment horizontal="center" vertical="center" wrapText="1"/>
    </xf>
  </cellXfs>
  <cellStyles count="3">
    <cellStyle name="20% - Énfasis1" xfId="1" builtinId="30"/>
    <cellStyle name="Normal" xfId="0" builtinId="0"/>
    <cellStyle name="Normal 2" xfId="2" xr:uid="{00000000-0005-0000-0000-000002000000}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29</xdr:row>
      <xdr:rowOff>0</xdr:rowOff>
    </xdr:from>
    <xdr:to>
      <xdr:col>6</xdr:col>
      <xdr:colOff>0</xdr:colOff>
      <xdr:row>35</xdr:row>
      <xdr:rowOff>188119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009775" y="6057900"/>
          <a:ext cx="3048000" cy="15216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CO" sz="1100"/>
        </a:p>
        <a:p>
          <a:pPr algn="ctr"/>
          <a:endParaRPr lang="es-CO" sz="1100"/>
        </a:p>
        <a:p>
          <a:pPr algn="ctr"/>
          <a:endParaRPr lang="es-CO" sz="1100"/>
        </a:p>
        <a:p>
          <a:pPr algn="ctr"/>
          <a:r>
            <a:rPr lang="es-CO" sz="1100"/>
            <a:t>FESTIVO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62"/>
  <sheetViews>
    <sheetView tabSelected="1" topLeftCell="A43" zoomScaleNormal="100" workbookViewId="0">
      <selection activeCell="C43" sqref="C43:F43"/>
    </sheetView>
  </sheetViews>
  <sheetFormatPr defaultColWidth="11.42578125" defaultRowHeight="15"/>
  <cols>
    <col min="2" max="2" width="18.7109375" bestFit="1" customWidth="1"/>
  </cols>
  <sheetData>
    <row r="2" spans="2:34" ht="15.75" thickBot="1"/>
    <row r="3" spans="2:34">
      <c r="B3" s="1"/>
      <c r="C3" s="48">
        <v>3</v>
      </c>
      <c r="D3" s="49"/>
      <c r="E3" s="49"/>
      <c r="F3" s="49"/>
      <c r="G3" s="50"/>
      <c r="H3" s="48">
        <f>C3+1</f>
        <v>4</v>
      </c>
      <c r="I3" s="49"/>
      <c r="J3" s="49"/>
      <c r="K3" s="49"/>
      <c r="L3" s="50"/>
      <c r="M3" s="48">
        <f t="shared" ref="M3" si="0">H3+1</f>
        <v>5</v>
      </c>
      <c r="N3" s="49"/>
      <c r="O3" s="49"/>
      <c r="P3" s="49"/>
      <c r="Q3" s="50"/>
      <c r="R3" s="48">
        <v>6</v>
      </c>
      <c r="S3" s="49"/>
      <c r="T3" s="49"/>
      <c r="U3" s="49"/>
      <c r="V3" s="50"/>
      <c r="W3" s="48">
        <v>7</v>
      </c>
      <c r="X3" s="49"/>
      <c r="Y3" s="49"/>
      <c r="Z3" s="49"/>
      <c r="AA3" s="50"/>
      <c r="AB3" s="49">
        <f>W3+1</f>
        <v>8</v>
      </c>
      <c r="AC3" s="49"/>
      <c r="AD3" s="51"/>
      <c r="AE3" s="52">
        <f>AB3+1</f>
        <v>9</v>
      </c>
      <c r="AF3" s="49"/>
      <c r="AG3" s="50"/>
      <c r="AH3" s="2"/>
    </row>
    <row r="4" spans="2:34" ht="15.75" thickBot="1">
      <c r="B4" s="3"/>
      <c r="C4" s="42" t="s">
        <v>0</v>
      </c>
      <c r="D4" s="43"/>
      <c r="E4" s="43"/>
      <c r="F4" s="43"/>
      <c r="G4" s="44"/>
      <c r="H4" s="45" t="s">
        <v>1</v>
      </c>
      <c r="I4" s="45"/>
      <c r="J4" s="45"/>
      <c r="K4" s="45"/>
      <c r="L4" s="45"/>
      <c r="M4" s="46" t="s">
        <v>2</v>
      </c>
      <c r="N4" s="45"/>
      <c r="O4" s="45"/>
      <c r="P4" s="45"/>
      <c r="Q4" s="47"/>
      <c r="R4" s="43" t="s">
        <v>3</v>
      </c>
      <c r="S4" s="43"/>
      <c r="T4" s="43"/>
      <c r="U4" s="43"/>
      <c r="V4" s="43"/>
      <c r="W4" s="42" t="s">
        <v>4</v>
      </c>
      <c r="X4" s="43"/>
      <c r="Y4" s="43"/>
      <c r="Z4" s="43"/>
      <c r="AA4" s="44"/>
      <c r="AB4" s="42" t="s">
        <v>5</v>
      </c>
      <c r="AC4" s="43"/>
      <c r="AD4" s="44"/>
      <c r="AE4" s="39" t="s">
        <v>6</v>
      </c>
      <c r="AF4" s="40"/>
      <c r="AG4" s="41"/>
      <c r="AH4" s="1"/>
    </row>
    <row r="5" spans="2:34">
      <c r="B5" s="16" t="s">
        <v>7</v>
      </c>
      <c r="C5" s="20" t="s">
        <v>8</v>
      </c>
      <c r="D5" s="21" t="s">
        <v>9</v>
      </c>
      <c r="E5" s="21" t="s">
        <v>10</v>
      </c>
      <c r="F5" s="22" t="s">
        <v>11</v>
      </c>
      <c r="G5" s="17" t="s">
        <v>12</v>
      </c>
      <c r="H5" s="23" t="s">
        <v>8</v>
      </c>
      <c r="I5" s="21" t="s">
        <v>9</v>
      </c>
      <c r="J5" s="21" t="s">
        <v>10</v>
      </c>
      <c r="K5" s="22" t="s">
        <v>11</v>
      </c>
      <c r="L5" s="24" t="s">
        <v>12</v>
      </c>
      <c r="M5" s="25" t="s">
        <v>8</v>
      </c>
      <c r="N5" s="21" t="s">
        <v>9</v>
      </c>
      <c r="O5" s="21" t="s">
        <v>10</v>
      </c>
      <c r="P5" s="22" t="s">
        <v>11</v>
      </c>
      <c r="Q5" s="17" t="s">
        <v>12</v>
      </c>
      <c r="R5" s="23" t="s">
        <v>8</v>
      </c>
      <c r="S5" s="21" t="s">
        <v>9</v>
      </c>
      <c r="T5" s="21" t="s">
        <v>10</v>
      </c>
      <c r="U5" s="22" t="s">
        <v>11</v>
      </c>
      <c r="V5" s="26" t="s">
        <v>12</v>
      </c>
      <c r="W5" s="25" t="s">
        <v>8</v>
      </c>
      <c r="X5" s="21" t="s">
        <v>9</v>
      </c>
      <c r="Y5" s="21" t="s">
        <v>10</v>
      </c>
      <c r="Z5" s="22" t="s">
        <v>11</v>
      </c>
      <c r="AA5" s="27" t="s">
        <v>12</v>
      </c>
      <c r="AB5" s="25" t="s">
        <v>8</v>
      </c>
      <c r="AC5" s="22" t="s">
        <v>11</v>
      </c>
      <c r="AD5" s="27" t="s">
        <v>12</v>
      </c>
      <c r="AE5" s="25" t="s">
        <v>8</v>
      </c>
      <c r="AF5" s="22" t="s">
        <v>11</v>
      </c>
      <c r="AG5" s="17" t="s">
        <v>12</v>
      </c>
      <c r="AH5" s="17" t="s">
        <v>13</v>
      </c>
    </row>
    <row r="6" spans="2:34">
      <c r="B6" s="4" t="s">
        <v>14</v>
      </c>
      <c r="C6" s="38">
        <v>0.41666666666666669</v>
      </c>
      <c r="D6" s="6">
        <v>0.54166666666666663</v>
      </c>
      <c r="E6" s="6">
        <v>0.58333333333333337</v>
      </c>
      <c r="F6" s="7">
        <v>0.79166666666666663</v>
      </c>
      <c r="G6" s="8">
        <f>(F6-C6)-(E6-D6)</f>
        <v>0.3333333333333332</v>
      </c>
      <c r="H6" s="38">
        <v>0.41666666666666669</v>
      </c>
      <c r="I6" s="6">
        <v>0.54166666666666663</v>
      </c>
      <c r="J6" s="6">
        <v>0.58333333333333337</v>
      </c>
      <c r="K6" s="7">
        <v>0.79166666666666663</v>
      </c>
      <c r="L6" s="8">
        <f t="shared" ref="L6" si="1">(K6-H6)-(J6-I6)</f>
        <v>0.3333333333333332</v>
      </c>
      <c r="M6" s="38">
        <v>0.41666666666666669</v>
      </c>
      <c r="N6" s="6">
        <v>0.54166666666666663</v>
      </c>
      <c r="O6" s="6">
        <v>0.58333333333333337</v>
      </c>
      <c r="P6" s="7">
        <v>0.79166666666666663</v>
      </c>
      <c r="Q6" s="8">
        <f t="shared" ref="Q6" si="2">(P6-M6)-(O6-N6)</f>
        <v>0.3333333333333332</v>
      </c>
      <c r="R6" s="38">
        <v>0.41666666666666669</v>
      </c>
      <c r="S6" s="6">
        <v>0.54166666666666663</v>
      </c>
      <c r="T6" s="6">
        <v>0.58333333333333337</v>
      </c>
      <c r="U6" s="7">
        <v>0.79166666666666663</v>
      </c>
      <c r="V6" s="8">
        <f t="shared" ref="V6" si="3">(U6-R6)-(T6-S6)</f>
        <v>0.3333333333333332</v>
      </c>
      <c r="W6" s="38">
        <v>0.41666666666666669</v>
      </c>
      <c r="X6" s="6">
        <v>0.54166666666666663</v>
      </c>
      <c r="Y6" s="6">
        <v>0.58333333333333337</v>
      </c>
      <c r="Z6" s="7">
        <v>0.79166666666666663</v>
      </c>
      <c r="AA6" s="8">
        <f t="shared" ref="AA6" si="4">(Z6-W6)-(Y6-X6)</f>
        <v>0.3333333333333332</v>
      </c>
      <c r="AB6" s="11">
        <v>0.33333333333333331</v>
      </c>
      <c r="AC6" s="9">
        <v>0.5</v>
      </c>
      <c r="AD6" s="10">
        <f t="shared" ref="AD6:AD12" si="5">AC6-AB6</f>
        <v>0.16666666666666669</v>
      </c>
      <c r="AE6" s="11"/>
      <c r="AF6" s="9"/>
      <c r="AG6" s="10">
        <f t="shared" ref="AG6:AG12" si="6">AF6-AE6</f>
        <v>0</v>
      </c>
      <c r="AH6" s="12">
        <f t="shared" ref="AH6" si="7">G6+L6+Q6+V6+AA6+AD6+AG6</f>
        <v>1.8333333333333328</v>
      </c>
    </row>
    <row r="7" spans="2:34">
      <c r="B7" s="4" t="s">
        <v>15</v>
      </c>
      <c r="C7" s="53" t="s">
        <v>16</v>
      </c>
      <c r="D7" s="54"/>
      <c r="E7" s="54"/>
      <c r="F7" s="54"/>
      <c r="G7" s="55"/>
      <c r="H7" s="53" t="s">
        <v>16</v>
      </c>
      <c r="I7" s="54"/>
      <c r="J7" s="54"/>
      <c r="K7" s="54"/>
      <c r="L7" s="55"/>
      <c r="M7" s="53" t="s">
        <v>16</v>
      </c>
      <c r="N7" s="54"/>
      <c r="O7" s="54"/>
      <c r="P7" s="54"/>
      <c r="Q7" s="55"/>
      <c r="R7" s="53" t="s">
        <v>16</v>
      </c>
      <c r="S7" s="54"/>
      <c r="T7" s="54"/>
      <c r="U7" s="54"/>
      <c r="V7" s="55"/>
      <c r="W7" s="53" t="s">
        <v>16</v>
      </c>
      <c r="X7" s="54"/>
      <c r="Y7" s="54"/>
      <c r="Z7" s="54"/>
      <c r="AA7" s="55"/>
      <c r="AB7" s="11"/>
      <c r="AC7" s="9"/>
      <c r="AD7" s="10">
        <f t="shared" si="5"/>
        <v>0</v>
      </c>
      <c r="AE7" s="11"/>
      <c r="AF7" s="9"/>
      <c r="AG7" s="10">
        <f t="shared" si="6"/>
        <v>0</v>
      </c>
      <c r="AH7" s="12">
        <f>G7+L7+Q7+V7+AA7+AD7+AG7</f>
        <v>0</v>
      </c>
    </row>
    <row r="8" spans="2:34">
      <c r="B8" s="4" t="s">
        <v>17</v>
      </c>
      <c r="C8" s="5">
        <v>0.33333333333333331</v>
      </c>
      <c r="D8" s="13">
        <v>0.5</v>
      </c>
      <c r="E8" s="13">
        <v>0.54166666666666663</v>
      </c>
      <c r="F8" s="7">
        <v>0.70833333333333337</v>
      </c>
      <c r="G8" s="8">
        <f>(F8-C8)-(E8-D8)</f>
        <v>0.33333333333333343</v>
      </c>
      <c r="H8" s="5">
        <v>0.33333333333333331</v>
      </c>
      <c r="I8" s="13">
        <v>0.5</v>
      </c>
      <c r="J8" s="13">
        <v>0.54166666666666663</v>
      </c>
      <c r="K8" s="7">
        <v>0.70833333333333337</v>
      </c>
      <c r="L8" s="8">
        <f t="shared" ref="L8:L9" si="8">(K8-H8)-(J8-I8)</f>
        <v>0.33333333333333343</v>
      </c>
      <c r="M8" s="5">
        <v>0.33333333333333331</v>
      </c>
      <c r="N8" s="13">
        <v>0.5</v>
      </c>
      <c r="O8" s="13">
        <v>0.54166666666666663</v>
      </c>
      <c r="P8" s="7">
        <v>0.70833333333333337</v>
      </c>
      <c r="Q8" s="8">
        <f t="shared" ref="Q8:Q9" si="9">(P8-M8)-(O8-N8)</f>
        <v>0.33333333333333343</v>
      </c>
      <c r="R8" s="5">
        <v>0.33333333333333331</v>
      </c>
      <c r="S8" s="13">
        <v>0.5</v>
      </c>
      <c r="T8" s="13">
        <v>0.54166666666666663</v>
      </c>
      <c r="U8" s="7">
        <v>0.70833333333333337</v>
      </c>
      <c r="V8" s="8">
        <f t="shared" ref="V8:V9" si="10">(U8-R8)-(T8-S8)</f>
        <v>0.33333333333333343</v>
      </c>
      <c r="W8" s="5">
        <v>0.33333333333333331</v>
      </c>
      <c r="X8" s="13">
        <v>0.5</v>
      </c>
      <c r="Y8" s="13">
        <v>0.54166666666666663</v>
      </c>
      <c r="Z8" s="7">
        <v>0.70833333333333337</v>
      </c>
      <c r="AA8" s="8">
        <f t="shared" ref="AA8:AA9" si="11">(Z8-W8)-(Y8-X8)</f>
        <v>0.33333333333333343</v>
      </c>
      <c r="AB8" s="11">
        <v>0.5</v>
      </c>
      <c r="AC8" s="9">
        <v>0.66666666666666663</v>
      </c>
      <c r="AD8" s="10">
        <f t="shared" si="5"/>
        <v>0.16666666666666663</v>
      </c>
      <c r="AE8" s="11"/>
      <c r="AF8" s="9"/>
      <c r="AG8" s="10">
        <f t="shared" si="6"/>
        <v>0</v>
      </c>
      <c r="AH8" s="12">
        <f t="shared" ref="AH8:AH12" si="12">G8+L8+Q8+V8+AA8+AD8+AG8</f>
        <v>1.8333333333333339</v>
      </c>
    </row>
    <row r="9" spans="2:34">
      <c r="B9" s="30" t="s">
        <v>18</v>
      </c>
      <c r="C9" s="5">
        <v>0.29166666666666669</v>
      </c>
      <c r="D9" s="13">
        <v>0.5</v>
      </c>
      <c r="E9" s="13">
        <v>0.54166666666666663</v>
      </c>
      <c r="F9" s="7">
        <v>0.66666666666666663</v>
      </c>
      <c r="G9" s="8">
        <f t="shared" ref="G9" si="13">(F9-C9)-(E9-D9)</f>
        <v>0.33333333333333331</v>
      </c>
      <c r="H9" s="5">
        <v>0.29166666666666669</v>
      </c>
      <c r="I9" s="13">
        <v>0.5</v>
      </c>
      <c r="J9" s="13">
        <v>0.54166666666666663</v>
      </c>
      <c r="K9" s="7">
        <v>0.66666666666666663</v>
      </c>
      <c r="L9" s="8">
        <f t="shared" si="8"/>
        <v>0.33333333333333331</v>
      </c>
      <c r="M9" s="5">
        <v>0.29166666666666669</v>
      </c>
      <c r="N9" s="13">
        <v>0.5</v>
      </c>
      <c r="O9" s="13">
        <v>0.54166666666666663</v>
      </c>
      <c r="P9" s="7">
        <v>0.66666666666666663</v>
      </c>
      <c r="Q9" s="8">
        <f t="shared" si="9"/>
        <v>0.33333333333333331</v>
      </c>
      <c r="R9" s="5">
        <v>0.29166666666666669</v>
      </c>
      <c r="S9" s="13">
        <v>0.5</v>
      </c>
      <c r="T9" s="13">
        <v>0.54166666666666663</v>
      </c>
      <c r="U9" s="7">
        <v>0.66666666666666663</v>
      </c>
      <c r="V9" s="8">
        <f t="shared" si="10"/>
        <v>0.33333333333333331</v>
      </c>
      <c r="W9" s="5">
        <v>0.29166666666666669</v>
      </c>
      <c r="X9" s="13">
        <v>0.5</v>
      </c>
      <c r="Y9" s="13">
        <v>0.54166666666666663</v>
      </c>
      <c r="Z9" s="7">
        <v>0.66666666666666663</v>
      </c>
      <c r="AA9" s="8">
        <f t="shared" si="11"/>
        <v>0.33333333333333331</v>
      </c>
      <c r="AB9" s="11"/>
      <c r="AC9" s="9"/>
      <c r="AD9" s="10">
        <f t="shared" si="5"/>
        <v>0</v>
      </c>
      <c r="AE9" s="11"/>
      <c r="AF9" s="9"/>
      <c r="AG9" s="10">
        <f t="shared" si="6"/>
        <v>0</v>
      </c>
      <c r="AH9" s="12">
        <f t="shared" si="12"/>
        <v>1.6666666666666665</v>
      </c>
    </row>
    <row r="10" spans="2:34">
      <c r="B10" s="30" t="s">
        <v>19</v>
      </c>
      <c r="C10" s="5">
        <v>0.33333333333333331</v>
      </c>
      <c r="D10" s="6">
        <v>0.54166666666666663</v>
      </c>
      <c r="E10" s="6">
        <v>0.58333333333333337</v>
      </c>
      <c r="F10" s="7">
        <v>0.70833333333333337</v>
      </c>
      <c r="G10" s="8">
        <f>(F10-C10)-(E10-D10)</f>
        <v>0.33333333333333331</v>
      </c>
      <c r="H10" s="5">
        <v>0.33333333333333331</v>
      </c>
      <c r="I10" s="6">
        <v>0.54166666666666663</v>
      </c>
      <c r="J10" s="6">
        <v>0.58333333333333337</v>
      </c>
      <c r="K10" s="7">
        <v>0.70833333333333337</v>
      </c>
      <c r="L10" s="8">
        <f>(K10-H10)-(J10-I10)</f>
        <v>0.33333333333333331</v>
      </c>
      <c r="M10" s="5">
        <v>0.33333333333333331</v>
      </c>
      <c r="N10" s="6">
        <v>0.54166666666666663</v>
      </c>
      <c r="O10" s="6">
        <v>0.58333333333333337</v>
      </c>
      <c r="P10" s="7">
        <v>0.70833333333333337</v>
      </c>
      <c r="Q10" s="8">
        <f>(P10-M10)-(O10-N10)</f>
        <v>0.33333333333333331</v>
      </c>
      <c r="R10" s="5">
        <v>0.33333333333333331</v>
      </c>
      <c r="S10" s="6">
        <v>0.54166666666666663</v>
      </c>
      <c r="T10" s="6">
        <v>0.58333333333333337</v>
      </c>
      <c r="U10" s="7">
        <v>0.70833333333333337</v>
      </c>
      <c r="V10" s="8">
        <f>(U10-R10)-(T10-S10)</f>
        <v>0.33333333333333331</v>
      </c>
      <c r="W10" s="5">
        <v>0.33333333333333331</v>
      </c>
      <c r="X10" s="6">
        <v>0.54166666666666663</v>
      </c>
      <c r="Y10" s="6">
        <v>0.58333333333333337</v>
      </c>
      <c r="Z10" s="7">
        <v>0.70833333333333337</v>
      </c>
      <c r="AA10" s="8">
        <f>(Z10-W10)-(Y10-X10)</f>
        <v>0.33333333333333331</v>
      </c>
      <c r="AB10" s="11">
        <v>0.33333333333333331</v>
      </c>
      <c r="AC10" s="9">
        <v>0.5</v>
      </c>
      <c r="AD10" s="10">
        <f t="shared" si="5"/>
        <v>0.16666666666666669</v>
      </c>
      <c r="AE10" s="11"/>
      <c r="AF10" s="9"/>
      <c r="AG10" s="10">
        <f t="shared" si="6"/>
        <v>0</v>
      </c>
      <c r="AH10" s="12">
        <f t="shared" si="12"/>
        <v>1.8333333333333333</v>
      </c>
    </row>
    <row r="11" spans="2:34" ht="15.75" thickBot="1">
      <c r="B11" s="30" t="s">
        <v>20</v>
      </c>
      <c r="C11" s="5">
        <v>0.33333333333333331</v>
      </c>
      <c r="D11" s="6">
        <v>0.54166666666666663</v>
      </c>
      <c r="E11" s="6">
        <v>0.58333333333333337</v>
      </c>
      <c r="F11" s="7">
        <v>0.75</v>
      </c>
      <c r="G11" s="8">
        <f>(F11-C11)-(E11-D11)</f>
        <v>0.37499999999999994</v>
      </c>
      <c r="H11" s="5">
        <v>0.33333333333333331</v>
      </c>
      <c r="I11" s="6">
        <v>0.54166666666666663</v>
      </c>
      <c r="J11" s="6">
        <v>0.58333333333333337</v>
      </c>
      <c r="K11" s="7">
        <v>0.75</v>
      </c>
      <c r="L11" s="8">
        <f>(K11-H11)-(J11-I11)</f>
        <v>0.37499999999999994</v>
      </c>
      <c r="M11" s="5">
        <v>0.33333333333333331</v>
      </c>
      <c r="N11" s="6">
        <v>0.54166666666666663</v>
      </c>
      <c r="O11" s="6">
        <v>0.58333333333333337</v>
      </c>
      <c r="P11" s="7">
        <v>0.75</v>
      </c>
      <c r="Q11" s="8">
        <f>(P11-M11)-(O11-N11)</f>
        <v>0.37499999999999994</v>
      </c>
      <c r="R11" s="5">
        <v>0.33333333333333331</v>
      </c>
      <c r="S11" s="6">
        <v>0.54166666666666663</v>
      </c>
      <c r="T11" s="6">
        <v>0.58333333333333337</v>
      </c>
      <c r="U11" s="7">
        <v>0.75</v>
      </c>
      <c r="V11" s="8">
        <f>(U11-R11)-(T11-S11)</f>
        <v>0.37499999999999994</v>
      </c>
      <c r="W11" s="5">
        <v>0.33333333333333331</v>
      </c>
      <c r="X11" s="6">
        <v>0.54166666666666663</v>
      </c>
      <c r="Y11" s="6">
        <v>0.58333333333333337</v>
      </c>
      <c r="Z11" s="7">
        <v>0.75</v>
      </c>
      <c r="AA11" s="8">
        <f>(Z11-W11)-(Y11-X11)</f>
        <v>0.37499999999999994</v>
      </c>
      <c r="AB11" s="11"/>
      <c r="AC11" s="9"/>
      <c r="AD11" s="10">
        <f t="shared" si="5"/>
        <v>0</v>
      </c>
      <c r="AE11" s="11"/>
      <c r="AF11" s="9"/>
      <c r="AG11" s="10">
        <f t="shared" si="6"/>
        <v>0</v>
      </c>
      <c r="AH11" s="19">
        <f t="shared" si="12"/>
        <v>1.8749999999999998</v>
      </c>
    </row>
    <row r="12" spans="2:34" ht="15.75" thickBot="1">
      <c r="B12" s="4" t="s">
        <v>21</v>
      </c>
      <c r="C12" s="5">
        <v>0.29166666666666669</v>
      </c>
      <c r="D12" s="13">
        <v>0.5</v>
      </c>
      <c r="E12" s="13">
        <v>0.54166666666666663</v>
      </c>
      <c r="F12" s="7">
        <v>0.70833333333333337</v>
      </c>
      <c r="G12" s="8">
        <f t="shared" ref="G12" si="14">(F12-C12)-(E12-D12)</f>
        <v>0.37500000000000006</v>
      </c>
      <c r="H12" s="5">
        <v>0.29166666666666669</v>
      </c>
      <c r="I12" s="13">
        <v>0.5</v>
      </c>
      <c r="J12" s="13">
        <v>0.54166666666666663</v>
      </c>
      <c r="K12" s="7">
        <v>0.70833333333333337</v>
      </c>
      <c r="L12" s="8">
        <f t="shared" ref="L12" si="15">(K12-H12)-(J12-I12)</f>
        <v>0.37500000000000006</v>
      </c>
      <c r="M12" s="5">
        <v>0.29166666666666669</v>
      </c>
      <c r="N12" s="13">
        <v>0.5</v>
      </c>
      <c r="O12" s="13">
        <v>0.54166666666666663</v>
      </c>
      <c r="P12" s="7">
        <v>0.70833333333333337</v>
      </c>
      <c r="Q12" s="8">
        <f t="shared" ref="Q12" si="16">(P12-M12)-(O12-N12)</f>
        <v>0.37500000000000006</v>
      </c>
      <c r="R12" s="5">
        <v>0.29166666666666669</v>
      </c>
      <c r="S12" s="13">
        <v>0.5</v>
      </c>
      <c r="T12" s="13">
        <v>0.54166666666666663</v>
      </c>
      <c r="U12" s="7">
        <v>0.70833333333333337</v>
      </c>
      <c r="V12" s="8">
        <f t="shared" ref="V12" si="17">(U12-R12)-(T12-S12)</f>
        <v>0.37500000000000006</v>
      </c>
      <c r="W12" s="5">
        <v>0.29166666666666669</v>
      </c>
      <c r="X12" s="13">
        <v>0.5</v>
      </c>
      <c r="Y12" s="13">
        <v>0.54166666666666663</v>
      </c>
      <c r="Z12" s="7">
        <v>0.70833333333333337</v>
      </c>
      <c r="AA12" s="8">
        <f t="shared" ref="AA12" si="18">(Z12-W12)-(Y12-X12)</f>
        <v>0.37500000000000006</v>
      </c>
      <c r="AB12" s="11"/>
      <c r="AC12" s="9"/>
      <c r="AD12" s="10">
        <f t="shared" si="5"/>
        <v>0</v>
      </c>
      <c r="AE12" s="11"/>
      <c r="AF12" s="9"/>
      <c r="AG12" s="10">
        <f t="shared" si="6"/>
        <v>0</v>
      </c>
      <c r="AH12" s="19">
        <f t="shared" si="12"/>
        <v>1.8750000000000002</v>
      </c>
    </row>
    <row r="14" spans="2:34" ht="15.75" thickBot="1"/>
    <row r="15" spans="2:34">
      <c r="B15" s="1"/>
      <c r="C15" s="48">
        <v>10</v>
      </c>
      <c r="D15" s="49"/>
      <c r="E15" s="49"/>
      <c r="F15" s="49"/>
      <c r="G15" s="50"/>
      <c r="H15" s="48">
        <f>C15+1</f>
        <v>11</v>
      </c>
      <c r="I15" s="49"/>
      <c r="J15" s="49"/>
      <c r="K15" s="49"/>
      <c r="L15" s="50"/>
      <c r="M15" s="48">
        <f t="shared" ref="M15" si="19">H15+1</f>
        <v>12</v>
      </c>
      <c r="N15" s="49"/>
      <c r="O15" s="49"/>
      <c r="P15" s="49"/>
      <c r="Q15" s="50"/>
      <c r="R15" s="48">
        <f t="shared" ref="R15" si="20">M15+1</f>
        <v>13</v>
      </c>
      <c r="S15" s="49"/>
      <c r="T15" s="49"/>
      <c r="U15" s="49"/>
      <c r="V15" s="50"/>
      <c r="W15" s="48">
        <f t="shared" ref="W15" si="21">R15+1</f>
        <v>14</v>
      </c>
      <c r="X15" s="49"/>
      <c r="Y15" s="49"/>
      <c r="Z15" s="49"/>
      <c r="AA15" s="50"/>
      <c r="AB15" s="49">
        <f>W15+1</f>
        <v>15</v>
      </c>
      <c r="AC15" s="49"/>
      <c r="AD15" s="51"/>
      <c r="AE15" s="52">
        <f>AB15+1</f>
        <v>16</v>
      </c>
      <c r="AF15" s="49"/>
      <c r="AG15" s="50"/>
      <c r="AH15" s="2"/>
    </row>
    <row r="16" spans="2:34" ht="15.75" thickBot="1">
      <c r="B16" s="3"/>
      <c r="C16" s="42" t="s">
        <v>0</v>
      </c>
      <c r="D16" s="43"/>
      <c r="E16" s="43"/>
      <c r="F16" s="43"/>
      <c r="G16" s="44"/>
      <c r="H16" s="45" t="s">
        <v>1</v>
      </c>
      <c r="I16" s="45"/>
      <c r="J16" s="45"/>
      <c r="K16" s="45"/>
      <c r="L16" s="45"/>
      <c r="M16" s="46" t="s">
        <v>2</v>
      </c>
      <c r="N16" s="45"/>
      <c r="O16" s="45"/>
      <c r="P16" s="45"/>
      <c r="Q16" s="47"/>
      <c r="R16" s="43" t="s">
        <v>3</v>
      </c>
      <c r="S16" s="43"/>
      <c r="T16" s="43"/>
      <c r="U16" s="43"/>
      <c r="V16" s="43"/>
      <c r="W16" s="42" t="s">
        <v>4</v>
      </c>
      <c r="X16" s="43"/>
      <c r="Y16" s="43"/>
      <c r="Z16" s="43"/>
      <c r="AA16" s="44"/>
      <c r="AB16" s="42" t="s">
        <v>5</v>
      </c>
      <c r="AC16" s="43"/>
      <c r="AD16" s="44"/>
      <c r="AE16" s="39" t="s">
        <v>6</v>
      </c>
      <c r="AF16" s="40"/>
      <c r="AG16" s="41"/>
      <c r="AH16" s="1"/>
    </row>
    <row r="17" spans="2:34">
      <c r="B17" s="16" t="s">
        <v>7</v>
      </c>
      <c r="C17" s="20" t="s">
        <v>8</v>
      </c>
      <c r="D17" s="21" t="s">
        <v>9</v>
      </c>
      <c r="E17" s="21" t="s">
        <v>10</v>
      </c>
      <c r="F17" s="22" t="s">
        <v>11</v>
      </c>
      <c r="G17" s="17" t="s">
        <v>12</v>
      </c>
      <c r="H17" s="23" t="s">
        <v>8</v>
      </c>
      <c r="I17" s="21" t="s">
        <v>9</v>
      </c>
      <c r="J17" s="21" t="s">
        <v>10</v>
      </c>
      <c r="K17" s="22" t="s">
        <v>11</v>
      </c>
      <c r="L17" s="24" t="s">
        <v>12</v>
      </c>
      <c r="M17" s="25" t="s">
        <v>8</v>
      </c>
      <c r="N17" s="21" t="s">
        <v>9</v>
      </c>
      <c r="O17" s="21" t="s">
        <v>10</v>
      </c>
      <c r="P17" s="22" t="s">
        <v>11</v>
      </c>
      <c r="Q17" s="17" t="s">
        <v>12</v>
      </c>
      <c r="R17" s="23" t="s">
        <v>8</v>
      </c>
      <c r="S17" s="21" t="s">
        <v>9</v>
      </c>
      <c r="T17" s="21" t="s">
        <v>10</v>
      </c>
      <c r="U17" s="22" t="s">
        <v>11</v>
      </c>
      <c r="V17" s="26" t="s">
        <v>12</v>
      </c>
      <c r="W17" s="25" t="s">
        <v>8</v>
      </c>
      <c r="X17" s="21" t="s">
        <v>9</v>
      </c>
      <c r="Y17" s="21" t="s">
        <v>10</v>
      </c>
      <c r="Z17" s="22" t="s">
        <v>11</v>
      </c>
      <c r="AA17" s="27" t="s">
        <v>12</v>
      </c>
      <c r="AB17" s="25" t="s">
        <v>8</v>
      </c>
      <c r="AC17" s="22" t="s">
        <v>11</v>
      </c>
      <c r="AD17" s="27" t="s">
        <v>12</v>
      </c>
      <c r="AE17" s="25" t="s">
        <v>8</v>
      </c>
      <c r="AF17" s="22" t="s">
        <v>11</v>
      </c>
      <c r="AG17" s="17" t="s">
        <v>12</v>
      </c>
      <c r="AH17" s="17" t="s">
        <v>13</v>
      </c>
    </row>
    <row r="18" spans="2:34" ht="15.75" thickBot="1">
      <c r="B18" s="4" t="s">
        <v>14</v>
      </c>
      <c r="C18" s="33">
        <v>0.375</v>
      </c>
      <c r="D18" s="34">
        <v>0.54166666666666663</v>
      </c>
      <c r="E18" s="34">
        <v>0.58333333333333337</v>
      </c>
      <c r="F18" s="35">
        <v>0.79166666666666663</v>
      </c>
      <c r="G18" s="8">
        <f t="shared" ref="G18" si="22">(F18-C18)-(E18-D18)</f>
        <v>0.37499999999999989</v>
      </c>
      <c r="H18" s="33">
        <v>0.375</v>
      </c>
      <c r="I18" s="34">
        <v>0.54166666666666663</v>
      </c>
      <c r="J18" s="34">
        <v>0.58333333333333337</v>
      </c>
      <c r="K18" s="35">
        <v>0.79166666666666663</v>
      </c>
      <c r="L18" s="8">
        <f t="shared" ref="L18" si="23">(K18-H18)-(J18-I18)</f>
        <v>0.37499999999999989</v>
      </c>
      <c r="M18" s="33">
        <v>0.375</v>
      </c>
      <c r="N18" s="34">
        <v>0.54166666666666663</v>
      </c>
      <c r="O18" s="34">
        <v>0.58333333333333337</v>
      </c>
      <c r="P18" s="35">
        <v>0.79166666666666663</v>
      </c>
      <c r="Q18" s="8">
        <f t="shared" ref="Q18" si="24">(P18-M18)-(O18-N18)</f>
        <v>0.37499999999999989</v>
      </c>
      <c r="R18" s="33">
        <v>0.375</v>
      </c>
      <c r="S18" s="34">
        <v>0.54166666666666663</v>
      </c>
      <c r="T18" s="34">
        <v>0.58333333333333337</v>
      </c>
      <c r="U18" s="35">
        <v>0.79166666666666663</v>
      </c>
      <c r="V18" s="8">
        <f t="shared" ref="V18" si="25">(U18-R18)-(T18-S18)</f>
        <v>0.37499999999999989</v>
      </c>
      <c r="W18" s="33">
        <v>0.375</v>
      </c>
      <c r="X18" s="34">
        <v>0.54166666666666663</v>
      </c>
      <c r="Y18" s="34">
        <v>0.58333333333333337</v>
      </c>
      <c r="Z18" s="35">
        <v>0.79166666666666663</v>
      </c>
      <c r="AA18" s="8">
        <f t="shared" ref="AA18" si="26">(Z18-W18)-(Y18-X18)</f>
        <v>0.37499999999999989</v>
      </c>
      <c r="AB18" s="11"/>
      <c r="AC18" s="9"/>
      <c r="AD18" s="10">
        <f t="shared" ref="AD18:AD24" si="27">AC18-AB18</f>
        <v>0</v>
      </c>
      <c r="AE18" s="11"/>
      <c r="AF18" s="9"/>
      <c r="AG18" s="10">
        <f t="shared" ref="AG18:AG24" si="28">AF18-AE18</f>
        <v>0</v>
      </c>
      <c r="AH18" s="12">
        <f t="shared" ref="AH18" si="29">G18+L18+Q18+V18+AA18+AD18+AG18</f>
        <v>1.8749999999999996</v>
      </c>
    </row>
    <row r="19" spans="2:34">
      <c r="B19" s="4" t="s">
        <v>15</v>
      </c>
      <c r="C19" s="53" t="s">
        <v>16</v>
      </c>
      <c r="D19" s="54"/>
      <c r="E19" s="54"/>
      <c r="F19" s="54"/>
      <c r="G19" s="55"/>
      <c r="H19" s="53" t="s">
        <v>16</v>
      </c>
      <c r="I19" s="54"/>
      <c r="J19" s="54"/>
      <c r="K19" s="54"/>
      <c r="L19" s="55"/>
      <c r="M19" s="53" t="s">
        <v>16</v>
      </c>
      <c r="N19" s="54"/>
      <c r="O19" s="54"/>
      <c r="P19" s="54"/>
      <c r="Q19" s="55"/>
      <c r="R19" s="53" t="s">
        <v>16</v>
      </c>
      <c r="S19" s="54"/>
      <c r="T19" s="54"/>
      <c r="U19" s="54"/>
      <c r="V19" s="55"/>
      <c r="W19" s="53" t="s">
        <v>16</v>
      </c>
      <c r="X19" s="54"/>
      <c r="Y19" s="54"/>
      <c r="Z19" s="54"/>
      <c r="AA19" s="55"/>
      <c r="AB19" s="11"/>
      <c r="AC19" s="9"/>
      <c r="AD19" s="28">
        <f t="shared" si="27"/>
        <v>0</v>
      </c>
      <c r="AE19" s="11"/>
      <c r="AF19" s="9"/>
      <c r="AG19" s="10">
        <f t="shared" si="28"/>
        <v>0</v>
      </c>
      <c r="AH19" s="12">
        <f>G19+L19+Q19+V19+AA19+AD19+AG19</f>
        <v>0</v>
      </c>
    </row>
    <row r="20" spans="2:34">
      <c r="B20" s="4" t="s">
        <v>17</v>
      </c>
      <c r="C20" s="33">
        <v>0.29166666666666669</v>
      </c>
      <c r="D20" s="37">
        <v>0.5</v>
      </c>
      <c r="E20" s="37">
        <v>0.54166666666666663</v>
      </c>
      <c r="F20" s="35">
        <v>0.66666666666666663</v>
      </c>
      <c r="G20" s="8">
        <f>(F20-C20)-(E20-D20)</f>
        <v>0.33333333333333331</v>
      </c>
      <c r="H20" s="33">
        <v>0.29166666666666669</v>
      </c>
      <c r="I20" s="37">
        <v>0.5</v>
      </c>
      <c r="J20" s="37">
        <v>0.54166666666666663</v>
      </c>
      <c r="K20" s="35">
        <v>0.66666666666666663</v>
      </c>
      <c r="L20" s="8">
        <f>(K20-H20)-(J20-I20)</f>
        <v>0.33333333333333331</v>
      </c>
      <c r="M20" s="33">
        <v>0.29166666666666669</v>
      </c>
      <c r="N20" s="37">
        <v>0.5</v>
      </c>
      <c r="O20" s="37">
        <v>0.54166666666666663</v>
      </c>
      <c r="P20" s="35">
        <v>0.66666666666666663</v>
      </c>
      <c r="Q20" s="8">
        <f>(P20-M20)-(O20-N20)</f>
        <v>0.33333333333333331</v>
      </c>
      <c r="R20" s="33">
        <v>0.29166666666666669</v>
      </c>
      <c r="S20" s="37">
        <v>0.5</v>
      </c>
      <c r="T20" s="37">
        <v>0.54166666666666663</v>
      </c>
      <c r="U20" s="35">
        <v>0.66666666666666663</v>
      </c>
      <c r="V20" s="8">
        <f>(U20-R20)-(T20-S20)</f>
        <v>0.33333333333333331</v>
      </c>
      <c r="W20" s="33">
        <v>0.29166666666666669</v>
      </c>
      <c r="X20" s="37">
        <v>0.5</v>
      </c>
      <c r="Y20" s="37">
        <v>0.54166666666666663</v>
      </c>
      <c r="Z20" s="35">
        <v>0.66666666666666663</v>
      </c>
      <c r="AA20" s="8">
        <f>(Z20-W20)-(Y20-X20)</f>
        <v>0.33333333333333331</v>
      </c>
      <c r="AB20" s="11">
        <v>0.33333333333333331</v>
      </c>
      <c r="AC20" s="9">
        <v>0.5</v>
      </c>
      <c r="AD20" s="10">
        <f t="shared" si="27"/>
        <v>0.16666666666666669</v>
      </c>
      <c r="AE20" s="11"/>
      <c r="AF20" s="9"/>
      <c r="AG20" s="10">
        <f t="shared" si="28"/>
        <v>0</v>
      </c>
      <c r="AH20" s="12">
        <f t="shared" ref="AH20:AH24" si="30">G20+L20+Q20+V20+AA20+AD20+AG20</f>
        <v>1.8333333333333333</v>
      </c>
    </row>
    <row r="21" spans="2:34">
      <c r="B21" s="30" t="s">
        <v>18</v>
      </c>
      <c r="C21" s="5">
        <v>0.29166666666666669</v>
      </c>
      <c r="D21" s="13">
        <v>0.5</v>
      </c>
      <c r="E21" s="13">
        <v>0.54166666666666663</v>
      </c>
      <c r="F21" s="7">
        <v>0.66666666666666663</v>
      </c>
      <c r="G21" s="8">
        <f t="shared" ref="G21:G24" si="31">(F21-C21)-(E21-D21)</f>
        <v>0.33333333333333331</v>
      </c>
      <c r="H21" s="5">
        <v>0.29166666666666669</v>
      </c>
      <c r="I21" s="13">
        <v>0.5</v>
      </c>
      <c r="J21" s="13">
        <v>0.54166666666666663</v>
      </c>
      <c r="K21" s="7">
        <v>0.66666666666666663</v>
      </c>
      <c r="L21" s="8">
        <f t="shared" ref="L21:L24" si="32">(K21-H21)-(J21-I21)</f>
        <v>0.33333333333333331</v>
      </c>
      <c r="M21" s="5">
        <v>0.29166666666666669</v>
      </c>
      <c r="N21" s="13">
        <v>0.5</v>
      </c>
      <c r="O21" s="13">
        <v>0.54166666666666663</v>
      </c>
      <c r="P21" s="7">
        <v>0.66666666666666663</v>
      </c>
      <c r="Q21" s="8">
        <f t="shared" ref="Q21:Q24" si="33">(P21-M21)-(O21-N21)</f>
        <v>0.33333333333333331</v>
      </c>
      <c r="R21" s="5">
        <v>0.29166666666666669</v>
      </c>
      <c r="S21" s="13">
        <v>0.5</v>
      </c>
      <c r="T21" s="13">
        <v>0.54166666666666663</v>
      </c>
      <c r="U21" s="7">
        <v>0.66666666666666663</v>
      </c>
      <c r="V21" s="8">
        <f t="shared" ref="V21:V24" si="34">(U21-R21)-(T21-S21)</f>
        <v>0.33333333333333331</v>
      </c>
      <c r="W21" s="5">
        <v>0.29166666666666669</v>
      </c>
      <c r="X21" s="13">
        <v>0.5</v>
      </c>
      <c r="Y21" s="13">
        <v>0.54166666666666663</v>
      </c>
      <c r="Z21" s="7">
        <v>0.66666666666666663</v>
      </c>
      <c r="AA21" s="8">
        <f t="shared" ref="AA21:AA24" si="35">(Z21-W21)-(Y21-X21)</f>
        <v>0.33333333333333331</v>
      </c>
      <c r="AB21" s="11">
        <v>0.33333333333333331</v>
      </c>
      <c r="AC21" s="9">
        <v>0.54166666666666663</v>
      </c>
      <c r="AD21" s="10">
        <f t="shared" si="27"/>
        <v>0.20833333333333331</v>
      </c>
      <c r="AE21" s="11"/>
      <c r="AF21" s="9"/>
      <c r="AG21" s="10">
        <f t="shared" si="28"/>
        <v>0</v>
      </c>
      <c r="AH21" s="12">
        <f t="shared" si="30"/>
        <v>1.8749999999999998</v>
      </c>
    </row>
    <row r="22" spans="2:34">
      <c r="B22" s="30" t="s">
        <v>19</v>
      </c>
      <c r="C22" s="33">
        <v>0.33333333333333331</v>
      </c>
      <c r="D22" s="34">
        <v>0.54166666666666663</v>
      </c>
      <c r="E22" s="34">
        <v>0.58333333333333337</v>
      </c>
      <c r="F22" s="35">
        <v>0.75</v>
      </c>
      <c r="G22" s="8">
        <f t="shared" si="31"/>
        <v>0.37499999999999994</v>
      </c>
      <c r="H22" s="33">
        <v>0.33333333333333331</v>
      </c>
      <c r="I22" s="34">
        <v>0.54166666666666663</v>
      </c>
      <c r="J22" s="34">
        <v>0.58333333333333337</v>
      </c>
      <c r="K22" s="35">
        <v>0.75</v>
      </c>
      <c r="L22" s="8">
        <f t="shared" si="32"/>
        <v>0.37499999999999994</v>
      </c>
      <c r="M22" s="33">
        <v>0.33333333333333331</v>
      </c>
      <c r="N22" s="34">
        <v>0.54166666666666663</v>
      </c>
      <c r="O22" s="34">
        <v>0.58333333333333337</v>
      </c>
      <c r="P22" s="35">
        <v>0.75</v>
      </c>
      <c r="Q22" s="8">
        <f t="shared" si="33"/>
        <v>0.37499999999999994</v>
      </c>
      <c r="R22" s="33">
        <v>0.33333333333333331</v>
      </c>
      <c r="S22" s="34">
        <v>0.54166666666666663</v>
      </c>
      <c r="T22" s="34">
        <v>0.58333333333333337</v>
      </c>
      <c r="U22" s="35">
        <v>0.75</v>
      </c>
      <c r="V22" s="8">
        <f t="shared" si="34"/>
        <v>0.37499999999999994</v>
      </c>
      <c r="W22" s="33">
        <v>0.33333333333333331</v>
      </c>
      <c r="X22" s="34">
        <v>0.54166666666666663</v>
      </c>
      <c r="Y22" s="34">
        <v>0.58333333333333337</v>
      </c>
      <c r="Z22" s="35">
        <v>0.75</v>
      </c>
      <c r="AA22" s="8">
        <f t="shared" si="35"/>
        <v>0.37499999999999994</v>
      </c>
      <c r="AB22" s="11"/>
      <c r="AC22" s="9"/>
      <c r="AD22" s="10">
        <f t="shared" si="27"/>
        <v>0</v>
      </c>
      <c r="AE22" s="11"/>
      <c r="AF22" s="9"/>
      <c r="AG22" s="10">
        <f t="shared" si="28"/>
        <v>0</v>
      </c>
      <c r="AH22" s="12">
        <f t="shared" si="30"/>
        <v>1.8749999999999998</v>
      </c>
    </row>
    <row r="23" spans="2:34" ht="15.75" thickBot="1">
      <c r="B23" s="30" t="s">
        <v>20</v>
      </c>
      <c r="C23" s="33">
        <v>0.33333333333333331</v>
      </c>
      <c r="D23" s="34">
        <v>0.54166666666666663</v>
      </c>
      <c r="E23" s="34">
        <v>0.58333333333333337</v>
      </c>
      <c r="F23" s="35">
        <v>0.75</v>
      </c>
      <c r="G23" s="8">
        <f t="shared" si="31"/>
        <v>0.37499999999999994</v>
      </c>
      <c r="H23" s="33">
        <v>0.33333333333333331</v>
      </c>
      <c r="I23" s="34">
        <v>0.54166666666666663</v>
      </c>
      <c r="J23" s="34">
        <v>0.58333333333333337</v>
      </c>
      <c r="K23" s="35">
        <v>0.75</v>
      </c>
      <c r="L23" s="8">
        <f t="shared" si="32"/>
        <v>0.37499999999999994</v>
      </c>
      <c r="M23" s="33">
        <v>0.33333333333333331</v>
      </c>
      <c r="N23" s="34">
        <v>0.54166666666666663</v>
      </c>
      <c r="O23" s="34">
        <v>0.58333333333333337</v>
      </c>
      <c r="P23" s="35">
        <v>0.75</v>
      </c>
      <c r="Q23" s="8">
        <f t="shared" si="33"/>
        <v>0.37499999999999994</v>
      </c>
      <c r="R23" s="33">
        <v>0.33333333333333331</v>
      </c>
      <c r="S23" s="34">
        <v>0.54166666666666663</v>
      </c>
      <c r="T23" s="34">
        <v>0.58333333333333337</v>
      </c>
      <c r="U23" s="35">
        <v>0.75</v>
      </c>
      <c r="V23" s="8">
        <f t="shared" si="34"/>
        <v>0.37499999999999994</v>
      </c>
      <c r="W23" s="33">
        <v>0.33333333333333331</v>
      </c>
      <c r="X23" s="34">
        <v>0.54166666666666663</v>
      </c>
      <c r="Y23" s="34">
        <v>0.58333333333333337</v>
      </c>
      <c r="Z23" s="35">
        <v>0.75</v>
      </c>
      <c r="AA23" s="8">
        <f t="shared" si="35"/>
        <v>0.37499999999999994</v>
      </c>
      <c r="AB23" s="11"/>
      <c r="AC23" s="9"/>
      <c r="AD23" s="10">
        <f t="shared" si="27"/>
        <v>0</v>
      </c>
      <c r="AE23" s="14"/>
      <c r="AF23" s="15"/>
      <c r="AG23" s="18">
        <f t="shared" si="28"/>
        <v>0</v>
      </c>
      <c r="AH23" s="19">
        <f t="shared" si="30"/>
        <v>1.8749999999999998</v>
      </c>
    </row>
    <row r="24" spans="2:34" ht="15.75" thickBot="1">
      <c r="B24" s="4" t="s">
        <v>21</v>
      </c>
      <c r="C24" s="33">
        <v>0.33333333333333331</v>
      </c>
      <c r="D24" s="37">
        <v>0.5</v>
      </c>
      <c r="E24" s="37">
        <v>0.54166666666666663</v>
      </c>
      <c r="F24" s="35">
        <v>0.70833333333333337</v>
      </c>
      <c r="G24" s="8">
        <f t="shared" si="31"/>
        <v>0.33333333333333343</v>
      </c>
      <c r="H24" s="33">
        <v>0.33333333333333331</v>
      </c>
      <c r="I24" s="37">
        <v>0.5</v>
      </c>
      <c r="J24" s="37">
        <v>0.54166666666666663</v>
      </c>
      <c r="K24" s="35">
        <v>0.70833333333333337</v>
      </c>
      <c r="L24" s="8">
        <f t="shared" si="32"/>
        <v>0.33333333333333343</v>
      </c>
      <c r="M24" s="33">
        <v>0.33333333333333331</v>
      </c>
      <c r="N24" s="37">
        <v>0.5</v>
      </c>
      <c r="O24" s="37">
        <v>0.54166666666666663</v>
      </c>
      <c r="P24" s="35">
        <v>0.70833333333333337</v>
      </c>
      <c r="Q24" s="8">
        <f t="shared" si="33"/>
        <v>0.33333333333333343</v>
      </c>
      <c r="R24" s="33">
        <v>0.33333333333333331</v>
      </c>
      <c r="S24" s="37">
        <v>0.5</v>
      </c>
      <c r="T24" s="37">
        <v>0.54166666666666663</v>
      </c>
      <c r="U24" s="35">
        <v>0.70833333333333337</v>
      </c>
      <c r="V24" s="8">
        <f t="shared" si="34"/>
        <v>0.33333333333333343</v>
      </c>
      <c r="W24" s="33">
        <v>0.33333333333333331</v>
      </c>
      <c r="X24" s="37">
        <v>0.5</v>
      </c>
      <c r="Y24" s="37">
        <v>0.54166666666666663</v>
      </c>
      <c r="Z24" s="35">
        <v>0.70833333333333337</v>
      </c>
      <c r="AA24" s="8">
        <f t="shared" si="35"/>
        <v>0.33333333333333343</v>
      </c>
      <c r="AB24" s="11">
        <v>0.5</v>
      </c>
      <c r="AC24" s="9">
        <v>0.66666666666666663</v>
      </c>
      <c r="AD24" s="10">
        <f t="shared" si="27"/>
        <v>0.16666666666666663</v>
      </c>
      <c r="AE24" s="14"/>
      <c r="AF24" s="15"/>
      <c r="AG24" s="18">
        <f t="shared" si="28"/>
        <v>0</v>
      </c>
      <c r="AH24" s="19">
        <f t="shared" si="30"/>
        <v>1.8333333333333339</v>
      </c>
    </row>
    <row r="26" spans="2:34" ht="15.75" thickBot="1"/>
    <row r="27" spans="2:34">
      <c r="B27" s="1"/>
      <c r="C27" s="48">
        <v>17</v>
      </c>
      <c r="D27" s="49"/>
      <c r="E27" s="49"/>
      <c r="F27" s="49"/>
      <c r="G27" s="50"/>
      <c r="H27" s="48">
        <f>C27+1</f>
        <v>18</v>
      </c>
      <c r="I27" s="49"/>
      <c r="J27" s="49"/>
      <c r="K27" s="49"/>
      <c r="L27" s="50"/>
      <c r="M27" s="48">
        <f t="shared" ref="M27" si="36">H27+1</f>
        <v>19</v>
      </c>
      <c r="N27" s="49"/>
      <c r="O27" s="49"/>
      <c r="P27" s="49"/>
      <c r="Q27" s="50"/>
      <c r="R27" s="48">
        <f t="shared" ref="R27" si="37">M27+1</f>
        <v>20</v>
      </c>
      <c r="S27" s="49"/>
      <c r="T27" s="49"/>
      <c r="U27" s="49"/>
      <c r="V27" s="50"/>
      <c r="W27" s="48">
        <f t="shared" ref="W27" si="38">R27+1</f>
        <v>21</v>
      </c>
      <c r="X27" s="49"/>
      <c r="Y27" s="49"/>
      <c r="Z27" s="49"/>
      <c r="AA27" s="50"/>
      <c r="AB27" s="49">
        <f>W27+1</f>
        <v>22</v>
      </c>
      <c r="AC27" s="49"/>
      <c r="AD27" s="51"/>
      <c r="AE27" s="52">
        <f>AB27+1</f>
        <v>23</v>
      </c>
      <c r="AF27" s="49"/>
      <c r="AG27" s="50"/>
      <c r="AH27" s="2"/>
    </row>
    <row r="28" spans="2:34" ht="15.75" thickBot="1">
      <c r="B28" s="3"/>
      <c r="C28" s="42" t="s">
        <v>0</v>
      </c>
      <c r="D28" s="43"/>
      <c r="E28" s="43"/>
      <c r="F28" s="43"/>
      <c r="G28" s="44"/>
      <c r="H28" s="45" t="s">
        <v>1</v>
      </c>
      <c r="I28" s="45"/>
      <c r="J28" s="45"/>
      <c r="K28" s="45"/>
      <c r="L28" s="45"/>
      <c r="M28" s="46" t="s">
        <v>2</v>
      </c>
      <c r="N28" s="45"/>
      <c r="O28" s="45"/>
      <c r="P28" s="45"/>
      <c r="Q28" s="47"/>
      <c r="R28" s="43" t="s">
        <v>3</v>
      </c>
      <c r="S28" s="43"/>
      <c r="T28" s="43"/>
      <c r="U28" s="43"/>
      <c r="V28" s="43"/>
      <c r="W28" s="42" t="s">
        <v>4</v>
      </c>
      <c r="X28" s="43"/>
      <c r="Y28" s="43"/>
      <c r="Z28" s="43"/>
      <c r="AA28" s="44"/>
      <c r="AB28" s="42" t="s">
        <v>5</v>
      </c>
      <c r="AC28" s="43"/>
      <c r="AD28" s="44"/>
      <c r="AE28" s="39" t="s">
        <v>6</v>
      </c>
      <c r="AF28" s="40"/>
      <c r="AG28" s="41"/>
      <c r="AH28" s="1"/>
    </row>
    <row r="29" spans="2:34">
      <c r="B29" s="16" t="s">
        <v>7</v>
      </c>
      <c r="C29" s="20" t="s">
        <v>8</v>
      </c>
      <c r="D29" s="21" t="s">
        <v>9</v>
      </c>
      <c r="E29" s="21" t="s">
        <v>10</v>
      </c>
      <c r="F29" s="22" t="s">
        <v>11</v>
      </c>
      <c r="G29" s="17" t="s">
        <v>12</v>
      </c>
      <c r="H29" s="23" t="s">
        <v>8</v>
      </c>
      <c r="I29" s="21" t="s">
        <v>9</v>
      </c>
      <c r="J29" s="21" t="s">
        <v>10</v>
      </c>
      <c r="K29" s="22" t="s">
        <v>11</v>
      </c>
      <c r="L29" s="24" t="s">
        <v>12</v>
      </c>
      <c r="M29" s="25" t="s">
        <v>8</v>
      </c>
      <c r="N29" s="21" t="s">
        <v>9</v>
      </c>
      <c r="O29" s="21" t="s">
        <v>10</v>
      </c>
      <c r="P29" s="22" t="s">
        <v>11</v>
      </c>
      <c r="Q29" s="17" t="s">
        <v>12</v>
      </c>
      <c r="R29" s="23" t="s">
        <v>8</v>
      </c>
      <c r="S29" s="21" t="s">
        <v>9</v>
      </c>
      <c r="T29" s="21" t="s">
        <v>10</v>
      </c>
      <c r="U29" s="22" t="s">
        <v>11</v>
      </c>
      <c r="V29" s="26" t="s">
        <v>12</v>
      </c>
      <c r="W29" s="25" t="s">
        <v>8</v>
      </c>
      <c r="X29" s="21" t="s">
        <v>9</v>
      </c>
      <c r="Y29" s="21" t="s">
        <v>10</v>
      </c>
      <c r="Z29" s="22" t="s">
        <v>11</v>
      </c>
      <c r="AA29" s="27" t="s">
        <v>12</v>
      </c>
      <c r="AB29" s="25" t="s">
        <v>8</v>
      </c>
      <c r="AC29" s="22" t="s">
        <v>11</v>
      </c>
      <c r="AD29" s="27" t="s">
        <v>12</v>
      </c>
      <c r="AE29" s="25" t="s">
        <v>8</v>
      </c>
      <c r="AF29" s="22" t="s">
        <v>11</v>
      </c>
      <c r="AG29" s="17" t="s">
        <v>12</v>
      </c>
      <c r="AH29" s="17" t="s">
        <v>13</v>
      </c>
    </row>
    <row r="30" spans="2:34" ht="15.75" thickBot="1">
      <c r="B30" s="4" t="s">
        <v>14</v>
      </c>
      <c r="C30" s="5"/>
      <c r="D30" s="6"/>
      <c r="E30" s="6"/>
      <c r="F30" s="7"/>
      <c r="G30" s="8">
        <f t="shared" ref="G30" si="39">(F30-C30)-(E30-D30)</f>
        <v>0</v>
      </c>
      <c r="H30" s="36">
        <v>0.41666666666666669</v>
      </c>
      <c r="I30" s="34">
        <v>0.54166666666666663</v>
      </c>
      <c r="J30" s="34">
        <v>0.58333333333333337</v>
      </c>
      <c r="K30" s="35">
        <v>0.79166666666666663</v>
      </c>
      <c r="L30" s="8">
        <f t="shared" ref="L30:L36" si="40">(K30-H30)-(J30-I30)</f>
        <v>0.3333333333333332</v>
      </c>
      <c r="M30" s="36">
        <v>0.41666666666666669</v>
      </c>
      <c r="N30" s="34">
        <v>0.54166666666666663</v>
      </c>
      <c r="O30" s="34">
        <v>0.58333333333333337</v>
      </c>
      <c r="P30" s="35">
        <v>0.79166666666666663</v>
      </c>
      <c r="Q30" s="8">
        <f t="shared" ref="Q30" si="41">(P30-M30)-(O30-N30)</f>
        <v>0.3333333333333332</v>
      </c>
      <c r="R30" s="36">
        <v>0.41666666666666669</v>
      </c>
      <c r="S30" s="34">
        <v>0.54166666666666663</v>
      </c>
      <c r="T30" s="34">
        <v>0.58333333333333337</v>
      </c>
      <c r="U30" s="35">
        <v>0.79166666666666663</v>
      </c>
      <c r="V30" s="8">
        <f t="shared" ref="V30" si="42">(U30-R30)-(T30-S30)</f>
        <v>0.3333333333333332</v>
      </c>
      <c r="W30" s="36">
        <v>0.41666666666666669</v>
      </c>
      <c r="X30" s="34">
        <v>0.54166666666666663</v>
      </c>
      <c r="Y30" s="34">
        <v>0.58333333333333337</v>
      </c>
      <c r="Z30" s="35">
        <v>0.79166666666666663</v>
      </c>
      <c r="AA30" s="8">
        <f t="shared" ref="AA30" si="43">(Z30-W30)-(Y30-X30)</f>
        <v>0.3333333333333332</v>
      </c>
      <c r="AB30" s="11">
        <v>0.5</v>
      </c>
      <c r="AC30" s="9">
        <v>0.66666666666666663</v>
      </c>
      <c r="AD30" s="10">
        <f t="shared" ref="AD30:AD36" si="44">AC30-AB30</f>
        <v>0.16666666666666663</v>
      </c>
      <c r="AE30" s="11"/>
      <c r="AF30" s="9"/>
      <c r="AG30" s="10">
        <f t="shared" ref="AG30:AG36" si="45">AF30-AE30</f>
        <v>0</v>
      </c>
      <c r="AH30" s="12">
        <f t="shared" ref="AH30" si="46">G30+L30+Q30+V30+AA30+AD30+AG30</f>
        <v>1.4999999999999996</v>
      </c>
    </row>
    <row r="31" spans="2:34">
      <c r="B31" s="4" t="s">
        <v>15</v>
      </c>
      <c r="C31" s="38"/>
      <c r="D31" s="6"/>
      <c r="E31" s="6"/>
      <c r="F31" s="7"/>
      <c r="G31" s="8">
        <f>(F31-C31)-(E31-D31)</f>
        <v>0</v>
      </c>
      <c r="H31" s="53" t="s">
        <v>16</v>
      </c>
      <c r="I31" s="54"/>
      <c r="J31" s="54"/>
      <c r="K31" s="54"/>
      <c r="L31" s="55"/>
      <c r="M31" s="53" t="s">
        <v>16</v>
      </c>
      <c r="N31" s="54"/>
      <c r="O31" s="54"/>
      <c r="P31" s="54"/>
      <c r="Q31" s="55"/>
      <c r="R31" s="53" t="s">
        <v>16</v>
      </c>
      <c r="S31" s="54"/>
      <c r="T31" s="54"/>
      <c r="U31" s="54"/>
      <c r="V31" s="55"/>
      <c r="W31" s="53" t="s">
        <v>16</v>
      </c>
      <c r="X31" s="54"/>
      <c r="Y31" s="54"/>
      <c r="Z31" s="54"/>
      <c r="AA31" s="55"/>
      <c r="AB31" s="11"/>
      <c r="AC31" s="9"/>
      <c r="AD31" s="28">
        <f t="shared" si="44"/>
        <v>0</v>
      </c>
      <c r="AE31" s="11"/>
      <c r="AF31" s="9"/>
      <c r="AG31" s="10">
        <f t="shared" si="45"/>
        <v>0</v>
      </c>
      <c r="AH31" s="12">
        <f>G31+L31+Q31+V31+AA31+AD31+AG31</f>
        <v>0</v>
      </c>
    </row>
    <row r="32" spans="2:34">
      <c r="B32" s="4" t="s">
        <v>17</v>
      </c>
      <c r="C32" s="5"/>
      <c r="D32" s="13"/>
      <c r="E32" s="13"/>
      <c r="F32" s="7"/>
      <c r="G32" s="8">
        <f t="shared" ref="G32:G33" si="47">(F32-C32)-(E32-D32)</f>
        <v>0</v>
      </c>
      <c r="H32" s="33">
        <v>0.33333333333333331</v>
      </c>
      <c r="I32" s="34">
        <v>0.54166666666666663</v>
      </c>
      <c r="J32" s="34">
        <v>0.58333333333333337</v>
      </c>
      <c r="K32" s="35">
        <v>0.70833333333333337</v>
      </c>
      <c r="L32" s="8">
        <f t="shared" si="40"/>
        <v>0.33333333333333331</v>
      </c>
      <c r="M32" s="33">
        <v>0.33333333333333331</v>
      </c>
      <c r="N32" s="34">
        <v>0.54166666666666663</v>
      </c>
      <c r="O32" s="34">
        <v>0.58333333333333337</v>
      </c>
      <c r="P32" s="35">
        <v>0.70833333333333337</v>
      </c>
      <c r="Q32" s="8">
        <f t="shared" ref="Q32:Q36" si="48">(P32-M32)-(O32-N32)</f>
        <v>0.33333333333333331</v>
      </c>
      <c r="R32" s="33">
        <v>0.33333333333333331</v>
      </c>
      <c r="S32" s="34">
        <v>0.54166666666666663</v>
      </c>
      <c r="T32" s="34">
        <v>0.58333333333333337</v>
      </c>
      <c r="U32" s="35">
        <v>0.70833333333333337</v>
      </c>
      <c r="V32" s="8">
        <f t="shared" ref="V32:V36" si="49">(U32-R32)-(T32-S32)</f>
        <v>0.33333333333333331</v>
      </c>
      <c r="W32" s="33">
        <v>0.33333333333333331</v>
      </c>
      <c r="X32" s="34">
        <v>0.54166666666666663</v>
      </c>
      <c r="Y32" s="34">
        <v>0.58333333333333337</v>
      </c>
      <c r="Z32" s="35">
        <v>0.70833333333333337</v>
      </c>
      <c r="AA32" s="8">
        <f t="shared" ref="AA32:AA36" si="50">(Z32-W32)-(Y32-X32)</f>
        <v>0.33333333333333331</v>
      </c>
      <c r="AB32" s="11">
        <v>0.33333333333333331</v>
      </c>
      <c r="AC32" s="9">
        <v>0.5</v>
      </c>
      <c r="AD32" s="10">
        <f t="shared" si="44"/>
        <v>0.16666666666666669</v>
      </c>
      <c r="AE32" s="11"/>
      <c r="AF32" s="9"/>
      <c r="AG32" s="10">
        <f t="shared" si="45"/>
        <v>0</v>
      </c>
      <c r="AH32" s="12">
        <f t="shared" ref="AH32:AH36" si="51">G32+L32+Q32+V32+AA32+AD32+AG32</f>
        <v>1.5</v>
      </c>
    </row>
    <row r="33" spans="2:34">
      <c r="B33" s="30" t="s">
        <v>18</v>
      </c>
      <c r="C33" s="31"/>
      <c r="D33" s="32"/>
      <c r="E33" s="32"/>
      <c r="F33" s="32"/>
      <c r="G33" s="8">
        <f t="shared" si="47"/>
        <v>0</v>
      </c>
      <c r="H33" s="5">
        <v>0.29166666666666669</v>
      </c>
      <c r="I33" s="13">
        <v>0.5</v>
      </c>
      <c r="J33" s="13">
        <v>0.54166666666666663</v>
      </c>
      <c r="K33" s="7">
        <v>0.66666666666666663</v>
      </c>
      <c r="L33" s="8">
        <f t="shared" si="40"/>
        <v>0.33333333333333331</v>
      </c>
      <c r="M33" s="5">
        <v>0.29166666666666669</v>
      </c>
      <c r="N33" s="13">
        <v>0.5</v>
      </c>
      <c r="O33" s="13">
        <v>0.54166666666666663</v>
      </c>
      <c r="P33" s="7">
        <v>0.66666666666666663</v>
      </c>
      <c r="Q33" s="8">
        <f t="shared" si="48"/>
        <v>0.33333333333333331</v>
      </c>
      <c r="R33" s="5">
        <v>0.29166666666666669</v>
      </c>
      <c r="S33" s="13">
        <v>0.5</v>
      </c>
      <c r="T33" s="13">
        <v>0.54166666666666663</v>
      </c>
      <c r="U33" s="7">
        <v>0.66666666666666663</v>
      </c>
      <c r="V33" s="8">
        <f t="shared" si="49"/>
        <v>0.33333333333333331</v>
      </c>
      <c r="W33" s="5">
        <v>0.29166666666666669</v>
      </c>
      <c r="X33" s="13">
        <v>0.5</v>
      </c>
      <c r="Y33" s="13">
        <v>0.54166666666666663</v>
      </c>
      <c r="Z33" s="7">
        <v>0.66666666666666663</v>
      </c>
      <c r="AA33" s="8">
        <f t="shared" si="50"/>
        <v>0.33333333333333331</v>
      </c>
      <c r="AB33" s="11"/>
      <c r="AC33" s="9"/>
      <c r="AD33" s="10">
        <f t="shared" si="44"/>
        <v>0</v>
      </c>
      <c r="AE33" s="11"/>
      <c r="AF33" s="9"/>
      <c r="AG33" s="10">
        <f t="shared" si="45"/>
        <v>0</v>
      </c>
      <c r="AH33" s="12">
        <f t="shared" si="51"/>
        <v>1.3333333333333333</v>
      </c>
    </row>
    <row r="34" spans="2:34">
      <c r="B34" s="30" t="s">
        <v>19</v>
      </c>
      <c r="C34" s="5"/>
      <c r="D34" s="13"/>
      <c r="E34" s="13"/>
      <c r="F34" s="7"/>
      <c r="G34" s="8">
        <f>(F34-C34)-(E34-D34)</f>
        <v>0</v>
      </c>
      <c r="H34" s="33">
        <v>0.33333333333333331</v>
      </c>
      <c r="I34" s="34">
        <v>0.54166666666666663</v>
      </c>
      <c r="J34" s="34">
        <v>0.58333333333333337</v>
      </c>
      <c r="K34" s="35">
        <v>0.75</v>
      </c>
      <c r="L34" s="8">
        <f t="shared" si="40"/>
        <v>0.37499999999999994</v>
      </c>
      <c r="M34" s="53" t="s">
        <v>22</v>
      </c>
      <c r="N34" s="54"/>
      <c r="O34" s="54"/>
      <c r="P34" s="54"/>
      <c r="Q34" s="55"/>
      <c r="R34" s="53" t="s">
        <v>22</v>
      </c>
      <c r="S34" s="54"/>
      <c r="T34" s="54"/>
      <c r="U34" s="54"/>
      <c r="V34" s="55"/>
      <c r="W34" s="53" t="s">
        <v>22</v>
      </c>
      <c r="X34" s="54"/>
      <c r="Y34" s="54"/>
      <c r="Z34" s="54"/>
      <c r="AA34" s="55"/>
      <c r="AB34" s="11"/>
      <c r="AC34" s="9"/>
      <c r="AD34" s="10">
        <f t="shared" si="44"/>
        <v>0</v>
      </c>
      <c r="AE34" s="11"/>
      <c r="AF34" s="9"/>
      <c r="AG34" s="10">
        <f t="shared" si="45"/>
        <v>0</v>
      </c>
      <c r="AH34" s="12">
        <f t="shared" si="51"/>
        <v>0.37499999999999994</v>
      </c>
    </row>
    <row r="35" spans="2:34" ht="15.75" thickBot="1">
      <c r="B35" s="30" t="s">
        <v>20</v>
      </c>
      <c r="C35" s="5"/>
      <c r="D35" s="6"/>
      <c r="E35" s="6"/>
      <c r="F35" s="7"/>
      <c r="G35" s="8">
        <f>(F35-C35)-(E35-D35)</f>
        <v>0</v>
      </c>
      <c r="H35" s="33">
        <v>0.33333333333333331</v>
      </c>
      <c r="I35" s="37">
        <v>0.5</v>
      </c>
      <c r="J35" s="37">
        <v>0.54166666666666663</v>
      </c>
      <c r="K35" s="35">
        <v>0.70833333333333337</v>
      </c>
      <c r="L35" s="8">
        <f t="shared" si="40"/>
        <v>0.33333333333333343</v>
      </c>
      <c r="M35" s="33">
        <v>0.33333333333333331</v>
      </c>
      <c r="N35" s="37">
        <v>0.5</v>
      </c>
      <c r="O35" s="37">
        <v>0.54166666666666663</v>
      </c>
      <c r="P35" s="35">
        <v>0.70833333333333337</v>
      </c>
      <c r="Q35" s="8">
        <f t="shared" si="48"/>
        <v>0.33333333333333343</v>
      </c>
      <c r="R35" s="33">
        <v>0.33333333333333331</v>
      </c>
      <c r="S35" s="37">
        <v>0.5</v>
      </c>
      <c r="T35" s="37">
        <v>0.54166666666666663</v>
      </c>
      <c r="U35" s="35">
        <v>0.70833333333333337</v>
      </c>
      <c r="V35" s="8">
        <f t="shared" si="49"/>
        <v>0.33333333333333343</v>
      </c>
      <c r="W35" s="33">
        <v>0.33333333333333331</v>
      </c>
      <c r="X35" s="37">
        <v>0.5</v>
      </c>
      <c r="Y35" s="37">
        <v>0.54166666666666663</v>
      </c>
      <c r="Z35" s="35">
        <v>0.70833333333333337</v>
      </c>
      <c r="AA35" s="8">
        <f t="shared" si="50"/>
        <v>0.33333333333333343</v>
      </c>
      <c r="AB35" s="11">
        <v>0.33333333333333331</v>
      </c>
      <c r="AC35" s="9">
        <v>0.5</v>
      </c>
      <c r="AD35" s="10">
        <f t="shared" si="44"/>
        <v>0.16666666666666669</v>
      </c>
      <c r="AE35" s="14"/>
      <c r="AF35" s="15"/>
      <c r="AG35" s="18">
        <f t="shared" si="45"/>
        <v>0</v>
      </c>
      <c r="AH35" s="19">
        <f t="shared" si="51"/>
        <v>1.5000000000000004</v>
      </c>
    </row>
    <row r="36" spans="2:34" ht="15.75" thickBot="1">
      <c r="B36" s="4" t="s">
        <v>21</v>
      </c>
      <c r="C36" s="5"/>
      <c r="D36" s="13"/>
      <c r="E36" s="13"/>
      <c r="F36" s="7"/>
      <c r="G36" s="8">
        <f>(F36-C36)-(E36-D36)</f>
        <v>0</v>
      </c>
      <c r="H36" s="33">
        <v>0.33333333333333331</v>
      </c>
      <c r="I36" s="34">
        <v>0.54166666666666663</v>
      </c>
      <c r="J36" s="34">
        <v>0.58333333333333337</v>
      </c>
      <c r="K36" s="35">
        <v>0.75</v>
      </c>
      <c r="L36" s="8">
        <f t="shared" si="40"/>
        <v>0.37499999999999994</v>
      </c>
      <c r="M36" s="33">
        <v>0.33333333333333331</v>
      </c>
      <c r="N36" s="34">
        <v>0.54166666666666663</v>
      </c>
      <c r="O36" s="34">
        <v>0.58333333333333337</v>
      </c>
      <c r="P36" s="35">
        <v>0.75</v>
      </c>
      <c r="Q36" s="8">
        <f t="shared" si="48"/>
        <v>0.37499999999999994</v>
      </c>
      <c r="R36" s="33">
        <v>0.33333333333333331</v>
      </c>
      <c r="S36" s="34">
        <v>0.54166666666666663</v>
      </c>
      <c r="T36" s="34">
        <v>0.58333333333333337</v>
      </c>
      <c r="U36" s="35">
        <v>0.75</v>
      </c>
      <c r="V36" s="8">
        <f t="shared" si="49"/>
        <v>0.37499999999999994</v>
      </c>
      <c r="W36" s="33">
        <v>0.33333333333333331</v>
      </c>
      <c r="X36" s="34">
        <v>0.54166666666666663</v>
      </c>
      <c r="Y36" s="34">
        <v>0.58333333333333337</v>
      </c>
      <c r="Z36" s="35">
        <v>0.75</v>
      </c>
      <c r="AA36" s="8">
        <f t="shared" si="50"/>
        <v>0.37499999999999994</v>
      </c>
      <c r="AB36" s="11"/>
      <c r="AC36" s="9"/>
      <c r="AD36" s="10">
        <f t="shared" si="44"/>
        <v>0</v>
      </c>
      <c r="AE36" s="14"/>
      <c r="AF36" s="15"/>
      <c r="AG36" s="18">
        <f t="shared" si="45"/>
        <v>0</v>
      </c>
      <c r="AH36" s="19">
        <f t="shared" si="51"/>
        <v>1.4999999999999998</v>
      </c>
    </row>
    <row r="39" spans="2:34" ht="15.75" thickBot="1"/>
    <row r="40" spans="2:34">
      <c r="B40" s="1"/>
      <c r="C40" s="48">
        <v>24</v>
      </c>
      <c r="D40" s="49"/>
      <c r="E40" s="49"/>
      <c r="F40" s="49"/>
      <c r="G40" s="50"/>
      <c r="H40" s="48">
        <f>C40+1</f>
        <v>25</v>
      </c>
      <c r="I40" s="49"/>
      <c r="J40" s="49"/>
      <c r="K40" s="49"/>
      <c r="L40" s="50"/>
      <c r="M40" s="48">
        <f t="shared" ref="M40" si="52">H40+1</f>
        <v>26</v>
      </c>
      <c r="N40" s="49"/>
      <c r="O40" s="49"/>
      <c r="P40" s="49"/>
      <c r="Q40" s="50"/>
      <c r="R40" s="48">
        <f t="shared" ref="R40" si="53">M40+1</f>
        <v>27</v>
      </c>
      <c r="S40" s="49"/>
      <c r="T40" s="49"/>
      <c r="U40" s="49"/>
      <c r="V40" s="50"/>
      <c r="W40" s="48">
        <f t="shared" ref="W40" si="54">R40+1</f>
        <v>28</v>
      </c>
      <c r="X40" s="49"/>
      <c r="Y40" s="49"/>
      <c r="Z40" s="49"/>
      <c r="AA40" s="50"/>
      <c r="AB40" s="49">
        <f>W40+1</f>
        <v>29</v>
      </c>
      <c r="AC40" s="49"/>
      <c r="AD40" s="51"/>
      <c r="AE40" s="52">
        <f>AB40+1</f>
        <v>30</v>
      </c>
      <c r="AF40" s="49"/>
      <c r="AG40" s="50"/>
      <c r="AH40" s="2"/>
    </row>
    <row r="41" spans="2:34" ht="15.75" thickBot="1">
      <c r="B41" s="3"/>
      <c r="C41" s="42" t="s">
        <v>0</v>
      </c>
      <c r="D41" s="43"/>
      <c r="E41" s="43"/>
      <c r="F41" s="43"/>
      <c r="G41" s="44"/>
      <c r="H41" s="45" t="s">
        <v>1</v>
      </c>
      <c r="I41" s="45"/>
      <c r="J41" s="45"/>
      <c r="K41" s="45"/>
      <c r="L41" s="45"/>
      <c r="M41" s="46" t="s">
        <v>2</v>
      </c>
      <c r="N41" s="45"/>
      <c r="O41" s="45"/>
      <c r="P41" s="45"/>
      <c r="Q41" s="47"/>
      <c r="R41" s="43" t="s">
        <v>3</v>
      </c>
      <c r="S41" s="43"/>
      <c r="T41" s="43"/>
      <c r="U41" s="43"/>
      <c r="V41" s="43"/>
      <c r="W41" s="42" t="s">
        <v>4</v>
      </c>
      <c r="X41" s="43"/>
      <c r="Y41" s="43"/>
      <c r="Z41" s="43"/>
      <c r="AA41" s="44"/>
      <c r="AB41" s="42" t="s">
        <v>5</v>
      </c>
      <c r="AC41" s="43"/>
      <c r="AD41" s="44"/>
      <c r="AE41" s="39" t="s">
        <v>6</v>
      </c>
      <c r="AF41" s="40"/>
      <c r="AG41" s="41"/>
      <c r="AH41" s="1"/>
    </row>
    <row r="42" spans="2:34">
      <c r="B42" s="16" t="s">
        <v>7</v>
      </c>
      <c r="C42" s="20" t="s">
        <v>8</v>
      </c>
      <c r="D42" s="21" t="s">
        <v>9</v>
      </c>
      <c r="E42" s="21" t="s">
        <v>10</v>
      </c>
      <c r="F42" s="22" t="s">
        <v>11</v>
      </c>
      <c r="G42" s="17" t="s">
        <v>12</v>
      </c>
      <c r="H42" s="23" t="s">
        <v>8</v>
      </c>
      <c r="I42" s="21" t="s">
        <v>9</v>
      </c>
      <c r="J42" s="21" t="s">
        <v>10</v>
      </c>
      <c r="K42" s="22" t="s">
        <v>11</v>
      </c>
      <c r="L42" s="24" t="s">
        <v>12</v>
      </c>
      <c r="M42" s="25" t="s">
        <v>8</v>
      </c>
      <c r="N42" s="21" t="s">
        <v>9</v>
      </c>
      <c r="O42" s="21" t="s">
        <v>10</v>
      </c>
      <c r="P42" s="22" t="s">
        <v>11</v>
      </c>
      <c r="Q42" s="17" t="s">
        <v>12</v>
      </c>
      <c r="R42" s="23" t="s">
        <v>8</v>
      </c>
      <c r="S42" s="21" t="s">
        <v>9</v>
      </c>
      <c r="T42" s="21" t="s">
        <v>10</v>
      </c>
      <c r="U42" s="22" t="s">
        <v>11</v>
      </c>
      <c r="V42" s="26" t="s">
        <v>12</v>
      </c>
      <c r="W42" s="25" t="s">
        <v>8</v>
      </c>
      <c r="X42" s="21" t="s">
        <v>9</v>
      </c>
      <c r="Y42" s="21" t="s">
        <v>10</v>
      </c>
      <c r="Z42" s="22" t="s">
        <v>11</v>
      </c>
      <c r="AA42" s="27" t="s">
        <v>12</v>
      </c>
      <c r="AB42" s="25" t="s">
        <v>8</v>
      </c>
      <c r="AC42" s="22" t="s">
        <v>11</v>
      </c>
      <c r="AD42" s="27" t="s">
        <v>12</v>
      </c>
      <c r="AE42" s="25" t="s">
        <v>8</v>
      </c>
      <c r="AF42" s="22" t="s">
        <v>11</v>
      </c>
      <c r="AG42" s="17" t="s">
        <v>12</v>
      </c>
      <c r="AH42" s="17" t="s">
        <v>13</v>
      </c>
    </row>
    <row r="43" spans="2:34" ht="15.75" thickBot="1">
      <c r="B43" s="4" t="s">
        <v>14</v>
      </c>
      <c r="C43" s="33">
        <v>0.375</v>
      </c>
      <c r="D43" s="34">
        <v>0.54166666666666663</v>
      </c>
      <c r="E43" s="34">
        <v>0.58333333333333337</v>
      </c>
      <c r="F43" s="35">
        <v>0.79166666666666663</v>
      </c>
      <c r="G43" s="8">
        <f t="shared" ref="G43" si="55">(F43-C43)-(E43-D43)</f>
        <v>0.37499999999999989</v>
      </c>
      <c r="H43" s="33">
        <v>0.29166666666666669</v>
      </c>
      <c r="I43" s="37">
        <v>0.5</v>
      </c>
      <c r="J43" s="37">
        <v>0.54166666666666663</v>
      </c>
      <c r="K43" s="35">
        <v>0.70833333333333337</v>
      </c>
      <c r="L43" s="8">
        <f t="shared" ref="L43" si="56">(K43-H43)-(J43-I43)</f>
        <v>0.37500000000000006</v>
      </c>
      <c r="M43" s="33">
        <v>0.29166666666666669</v>
      </c>
      <c r="N43" s="37">
        <v>0.5</v>
      </c>
      <c r="O43" s="37">
        <v>0.54166666666666663</v>
      </c>
      <c r="P43" s="35">
        <v>0.70833333333333337</v>
      </c>
      <c r="Q43" s="8">
        <f t="shared" ref="Q43" si="57">(P43-M43)-(O43-N43)</f>
        <v>0.37500000000000006</v>
      </c>
      <c r="R43" s="33">
        <v>0.29166666666666669</v>
      </c>
      <c r="S43" s="37">
        <v>0.5</v>
      </c>
      <c r="T43" s="37">
        <v>0.54166666666666663</v>
      </c>
      <c r="U43" s="35">
        <v>0.70833333333333337</v>
      </c>
      <c r="V43" s="8">
        <f t="shared" ref="V43" si="58">(U43-R43)-(T43-S43)</f>
        <v>0.37500000000000006</v>
      </c>
      <c r="W43" s="33">
        <v>0.29166666666666669</v>
      </c>
      <c r="X43" s="37">
        <v>0.5</v>
      </c>
      <c r="Y43" s="37">
        <v>0.54166666666666663</v>
      </c>
      <c r="Z43" s="35">
        <v>0.70833333333333337</v>
      </c>
      <c r="AA43" s="8">
        <f t="shared" ref="AA43" si="59">(Z43-W43)-(Y43-X43)</f>
        <v>0.37500000000000006</v>
      </c>
      <c r="AB43" s="11"/>
      <c r="AC43" s="9"/>
      <c r="AD43" s="10">
        <f t="shared" ref="AD43:AD49" si="60">AC43-AB43</f>
        <v>0</v>
      </c>
      <c r="AE43" s="11"/>
      <c r="AF43" s="9"/>
      <c r="AG43" s="10">
        <f t="shared" ref="AG43:AG49" si="61">AF43-AE43</f>
        <v>0</v>
      </c>
      <c r="AH43" s="12">
        <f t="shared" ref="AH43" si="62">G43+L43+Q43+V43+AA43+AD43+AG43</f>
        <v>1.875</v>
      </c>
    </row>
    <row r="44" spans="2:34">
      <c r="B44" s="4" t="s">
        <v>15</v>
      </c>
      <c r="C44" s="53" t="s">
        <v>16</v>
      </c>
      <c r="D44" s="54"/>
      <c r="E44" s="54"/>
      <c r="F44" s="54"/>
      <c r="G44" s="55"/>
      <c r="H44" s="38">
        <v>0.41666666666666669</v>
      </c>
      <c r="I44" s="6">
        <v>0.54166666666666663</v>
      </c>
      <c r="J44" s="6">
        <v>0.58333333333333337</v>
      </c>
      <c r="K44" s="7">
        <v>0.79166666666666663</v>
      </c>
      <c r="L44" s="8">
        <f>(K44-H44)-(J44-I44)</f>
        <v>0.3333333333333332</v>
      </c>
      <c r="M44" s="38">
        <v>0.41666666666666669</v>
      </c>
      <c r="N44" s="6">
        <v>0.54166666666666663</v>
      </c>
      <c r="O44" s="6">
        <v>0.58333333333333337</v>
      </c>
      <c r="P44" s="7">
        <v>0.79166666666666663</v>
      </c>
      <c r="Q44" s="8">
        <f>(P44-M44)-(O44-N44)</f>
        <v>0.3333333333333332</v>
      </c>
      <c r="R44" s="38">
        <v>0.41666666666666669</v>
      </c>
      <c r="S44" s="6">
        <v>0.54166666666666663</v>
      </c>
      <c r="T44" s="6">
        <v>0.58333333333333337</v>
      </c>
      <c r="U44" s="7">
        <v>0.79166666666666663</v>
      </c>
      <c r="V44" s="8">
        <f>(U44-R44)-(T44-S44)</f>
        <v>0.3333333333333332</v>
      </c>
      <c r="W44" s="38">
        <v>0.41666666666666669</v>
      </c>
      <c r="X44" s="6">
        <v>0.54166666666666663</v>
      </c>
      <c r="Y44" s="6">
        <v>0.58333333333333337</v>
      </c>
      <c r="Z44" s="7">
        <v>0.79166666666666663</v>
      </c>
      <c r="AA44" s="8">
        <f>(Z44-W44)-(Y44-X44)</f>
        <v>0.3333333333333332</v>
      </c>
      <c r="AB44" s="11">
        <v>0.33333333333333331</v>
      </c>
      <c r="AC44" s="9">
        <v>0.5</v>
      </c>
      <c r="AD44" s="28">
        <f t="shared" si="60"/>
        <v>0.16666666666666669</v>
      </c>
      <c r="AE44" s="11"/>
      <c r="AF44" s="9"/>
      <c r="AG44" s="10">
        <f t="shared" si="61"/>
        <v>0</v>
      </c>
      <c r="AH44" s="29">
        <f>G44+L44+Q44+V44+AA44+AD44+AG44</f>
        <v>1.4999999999999996</v>
      </c>
    </row>
    <row r="45" spans="2:34">
      <c r="B45" s="4" t="s">
        <v>17</v>
      </c>
      <c r="C45" s="33">
        <v>0.33333333333333331</v>
      </c>
      <c r="D45" s="34">
        <v>0.54166666666666663</v>
      </c>
      <c r="E45" s="34">
        <v>0.58333333333333337</v>
      </c>
      <c r="F45" s="35">
        <v>0.75</v>
      </c>
      <c r="G45" s="8">
        <f>(F45-C45)-(E45-D45)</f>
        <v>0.37499999999999994</v>
      </c>
      <c r="H45" s="33">
        <v>0.33333333333333331</v>
      </c>
      <c r="I45" s="34">
        <v>0.54166666666666663</v>
      </c>
      <c r="J45" s="34">
        <v>0.58333333333333337</v>
      </c>
      <c r="K45" s="35">
        <v>0.75</v>
      </c>
      <c r="L45" s="8">
        <f t="shared" ref="L45:L46" si="63">(K45-H45)-(J45-I45)</f>
        <v>0.37499999999999994</v>
      </c>
      <c r="M45" s="33">
        <v>0.33333333333333331</v>
      </c>
      <c r="N45" s="34">
        <v>0.54166666666666663</v>
      </c>
      <c r="O45" s="34">
        <v>0.58333333333333337</v>
      </c>
      <c r="P45" s="35">
        <v>0.75</v>
      </c>
      <c r="Q45" s="8">
        <f t="shared" ref="Q45:Q46" si="64">(P45-M45)-(O45-N45)</f>
        <v>0.37499999999999994</v>
      </c>
      <c r="R45" s="33">
        <v>0.33333333333333331</v>
      </c>
      <c r="S45" s="34">
        <v>0.54166666666666663</v>
      </c>
      <c r="T45" s="34">
        <v>0.58333333333333337</v>
      </c>
      <c r="U45" s="35">
        <v>0.75</v>
      </c>
      <c r="V45" s="8">
        <f t="shared" ref="V45:V46" si="65">(U45-R45)-(T45-S45)</f>
        <v>0.37499999999999994</v>
      </c>
      <c r="W45" s="33">
        <v>0.33333333333333331</v>
      </c>
      <c r="X45" s="34">
        <v>0.54166666666666663</v>
      </c>
      <c r="Y45" s="34">
        <v>0.58333333333333337</v>
      </c>
      <c r="Z45" s="35">
        <v>0.75</v>
      </c>
      <c r="AA45" s="8">
        <f t="shared" ref="AA45:AA46" si="66">(Z45-W45)-(Y45-X45)</f>
        <v>0.37499999999999994</v>
      </c>
      <c r="AB45" s="11"/>
      <c r="AC45" s="9"/>
      <c r="AD45" s="10">
        <f t="shared" si="60"/>
        <v>0</v>
      </c>
      <c r="AE45" s="11"/>
      <c r="AF45" s="9"/>
      <c r="AG45" s="10">
        <f t="shared" si="61"/>
        <v>0</v>
      </c>
      <c r="AH45" s="12">
        <f t="shared" ref="AH45:AH49" si="67">G45+L45+Q45+V45+AA45+AD45+AG45</f>
        <v>1.8749999999999998</v>
      </c>
    </row>
    <row r="46" spans="2:34">
      <c r="B46" s="30" t="s">
        <v>18</v>
      </c>
      <c r="C46" s="5">
        <v>0.29166666666666669</v>
      </c>
      <c r="D46" s="13">
        <v>0.5</v>
      </c>
      <c r="E46" s="13">
        <v>0.54166666666666663</v>
      </c>
      <c r="F46" s="7">
        <v>0.66666666666666663</v>
      </c>
      <c r="G46" s="8">
        <f t="shared" ref="G46:G49" si="68">(F46-C46)-(E46-D46)</f>
        <v>0.33333333333333331</v>
      </c>
      <c r="H46" s="5">
        <v>0.29166666666666669</v>
      </c>
      <c r="I46" s="13">
        <v>0.5</v>
      </c>
      <c r="J46" s="13">
        <v>0.54166666666666663</v>
      </c>
      <c r="K46" s="7">
        <v>0.66666666666666663</v>
      </c>
      <c r="L46" s="8">
        <f t="shared" si="63"/>
        <v>0.33333333333333331</v>
      </c>
      <c r="M46" s="5">
        <v>0.29166666666666669</v>
      </c>
      <c r="N46" s="13">
        <v>0.5</v>
      </c>
      <c r="O46" s="13">
        <v>0.54166666666666663</v>
      </c>
      <c r="P46" s="7">
        <v>0.66666666666666663</v>
      </c>
      <c r="Q46" s="8">
        <f t="shared" si="64"/>
        <v>0.33333333333333331</v>
      </c>
      <c r="R46" s="5">
        <v>0.29166666666666669</v>
      </c>
      <c r="S46" s="13">
        <v>0.5</v>
      </c>
      <c r="T46" s="13">
        <v>0.54166666666666663</v>
      </c>
      <c r="U46" s="7">
        <v>0.66666666666666663</v>
      </c>
      <c r="V46" s="8">
        <f t="shared" si="65"/>
        <v>0.33333333333333331</v>
      </c>
      <c r="W46" s="5">
        <v>0.29166666666666669</v>
      </c>
      <c r="X46" s="13">
        <v>0.5</v>
      </c>
      <c r="Y46" s="13">
        <v>0.54166666666666663</v>
      </c>
      <c r="Z46" s="7">
        <v>0.66666666666666663</v>
      </c>
      <c r="AA46" s="8">
        <f t="shared" si="66"/>
        <v>0.33333333333333331</v>
      </c>
      <c r="AB46" s="11"/>
      <c r="AC46" s="9"/>
      <c r="AD46" s="10">
        <f t="shared" si="60"/>
        <v>0</v>
      </c>
      <c r="AE46" s="11"/>
      <c r="AF46" s="9"/>
      <c r="AG46" s="10">
        <f t="shared" si="61"/>
        <v>0</v>
      </c>
      <c r="AH46" s="12">
        <f>G44+L46+Q46+V46+AA46+AD46+AG46</f>
        <v>1.3333333333333333</v>
      </c>
    </row>
    <row r="47" spans="2:34">
      <c r="B47" s="30" t="s">
        <v>19</v>
      </c>
      <c r="C47" s="33">
        <v>0.33333333333333331</v>
      </c>
      <c r="D47" s="37">
        <v>0.5</v>
      </c>
      <c r="E47" s="37">
        <v>0.54166666666666663</v>
      </c>
      <c r="F47" s="35">
        <v>0.70833333333333337</v>
      </c>
      <c r="G47" s="8">
        <f t="shared" si="68"/>
        <v>0.33333333333333343</v>
      </c>
      <c r="H47" s="33">
        <v>0.33333333333333331</v>
      </c>
      <c r="I47" s="37">
        <v>0.5</v>
      </c>
      <c r="J47" s="37">
        <v>0.54166666666666663</v>
      </c>
      <c r="K47" s="35">
        <v>0.70833333333333337</v>
      </c>
      <c r="L47" s="8">
        <f>(K47-H47)-(J47-I47)</f>
        <v>0.33333333333333343</v>
      </c>
      <c r="M47" s="33">
        <v>0.33333333333333331</v>
      </c>
      <c r="N47" s="37">
        <v>0.5</v>
      </c>
      <c r="O47" s="37">
        <v>0.54166666666666663</v>
      </c>
      <c r="P47" s="35">
        <v>0.70833333333333337</v>
      </c>
      <c r="Q47" s="8">
        <f>(P47-M47)-(O47-N47)</f>
        <v>0.33333333333333343</v>
      </c>
      <c r="R47" s="33">
        <v>0.33333333333333331</v>
      </c>
      <c r="S47" s="37">
        <v>0.5</v>
      </c>
      <c r="T47" s="37">
        <v>0.54166666666666663</v>
      </c>
      <c r="U47" s="35">
        <v>0.70833333333333337</v>
      </c>
      <c r="V47" s="8">
        <f>(U47-R47)-(T47-S47)</f>
        <v>0.33333333333333343</v>
      </c>
      <c r="W47" s="33">
        <v>0.33333333333333331</v>
      </c>
      <c r="X47" s="37">
        <v>0.5</v>
      </c>
      <c r="Y47" s="37">
        <v>0.54166666666666663</v>
      </c>
      <c r="Z47" s="35">
        <v>0.70833333333333337</v>
      </c>
      <c r="AA47" s="8">
        <f>(Z47-W47)-(Y47-X47)</f>
        <v>0.33333333333333343</v>
      </c>
      <c r="AB47" s="11">
        <v>0.33333333333333331</v>
      </c>
      <c r="AC47" s="9">
        <v>0.5</v>
      </c>
      <c r="AD47" s="10">
        <f t="shared" si="60"/>
        <v>0.16666666666666669</v>
      </c>
      <c r="AE47" s="11"/>
      <c r="AF47" s="9"/>
      <c r="AG47" s="10">
        <f t="shared" si="61"/>
        <v>0</v>
      </c>
      <c r="AH47" s="12">
        <f t="shared" si="67"/>
        <v>1.8333333333333339</v>
      </c>
    </row>
    <row r="48" spans="2:34" ht="15.75" thickBot="1">
      <c r="B48" s="30" t="s">
        <v>20</v>
      </c>
      <c r="C48" s="33">
        <v>0.33333333333333331</v>
      </c>
      <c r="D48" s="34">
        <v>0.54166666666666663</v>
      </c>
      <c r="E48" s="34">
        <v>0.58333333333333337</v>
      </c>
      <c r="F48" s="35">
        <v>0.75</v>
      </c>
      <c r="G48" s="8">
        <f t="shared" si="68"/>
        <v>0.37499999999999994</v>
      </c>
      <c r="H48" s="33">
        <v>0.33333333333333331</v>
      </c>
      <c r="I48" s="34">
        <v>0.54166666666666663</v>
      </c>
      <c r="J48" s="34">
        <v>0.58333333333333337</v>
      </c>
      <c r="K48" s="35">
        <v>0.75</v>
      </c>
      <c r="L48" s="8">
        <f>(K48-H48)-(J48-I48)</f>
        <v>0.37499999999999994</v>
      </c>
      <c r="M48" s="33">
        <v>0.33333333333333331</v>
      </c>
      <c r="N48" s="34">
        <v>0.54166666666666663</v>
      </c>
      <c r="O48" s="34">
        <v>0.58333333333333337</v>
      </c>
      <c r="P48" s="35">
        <v>0.75</v>
      </c>
      <c r="Q48" s="8">
        <f>(P48-M48)-(O48-N48)</f>
        <v>0.37499999999999994</v>
      </c>
      <c r="R48" s="33">
        <v>0.33333333333333331</v>
      </c>
      <c r="S48" s="34">
        <v>0.54166666666666663</v>
      </c>
      <c r="T48" s="34">
        <v>0.58333333333333337</v>
      </c>
      <c r="U48" s="35">
        <v>0.75</v>
      </c>
      <c r="V48" s="8">
        <f>(U48-R48)-(T48-S48)</f>
        <v>0.37499999999999994</v>
      </c>
      <c r="W48" s="33">
        <v>0.33333333333333331</v>
      </c>
      <c r="X48" s="34">
        <v>0.54166666666666663</v>
      </c>
      <c r="Y48" s="34">
        <v>0.58333333333333337</v>
      </c>
      <c r="Z48" s="35">
        <v>0.75</v>
      </c>
      <c r="AA48" s="8">
        <f>(Z48-W48)-(Y48-X48)</f>
        <v>0.37499999999999994</v>
      </c>
      <c r="AB48" s="11"/>
      <c r="AC48" s="9"/>
      <c r="AD48" s="10">
        <f t="shared" si="60"/>
        <v>0</v>
      </c>
      <c r="AE48" s="14"/>
      <c r="AF48" s="15"/>
      <c r="AG48" s="18">
        <f t="shared" si="61"/>
        <v>0</v>
      </c>
      <c r="AH48" s="19">
        <f t="shared" si="67"/>
        <v>1.8749999999999998</v>
      </c>
    </row>
    <row r="49" spans="2:34" ht="15.75" thickBot="1">
      <c r="B49" s="4" t="s">
        <v>21</v>
      </c>
      <c r="C49" s="33">
        <v>0.33333333333333331</v>
      </c>
      <c r="D49" s="37">
        <v>0.5</v>
      </c>
      <c r="E49" s="37">
        <v>0.54166666666666663</v>
      </c>
      <c r="F49" s="35">
        <v>0.70833333333333337</v>
      </c>
      <c r="G49" s="8">
        <f t="shared" si="68"/>
        <v>0.33333333333333343</v>
      </c>
      <c r="H49" s="33">
        <v>0.33333333333333331</v>
      </c>
      <c r="I49" s="37">
        <v>0.5</v>
      </c>
      <c r="J49" s="37">
        <v>0.54166666666666663</v>
      </c>
      <c r="K49" s="35">
        <v>0.70833333333333337</v>
      </c>
      <c r="L49" s="8">
        <f>(K49-H49)-(J49-I49)</f>
        <v>0.33333333333333343</v>
      </c>
      <c r="M49" s="33">
        <v>0.33333333333333331</v>
      </c>
      <c r="N49" s="37">
        <v>0.5</v>
      </c>
      <c r="O49" s="37">
        <v>0.54166666666666663</v>
      </c>
      <c r="P49" s="35">
        <v>0.70833333333333337</v>
      </c>
      <c r="Q49" s="8">
        <f>(P49-M49)-(O49-N49)</f>
        <v>0.33333333333333343</v>
      </c>
      <c r="R49" s="33">
        <v>0.33333333333333331</v>
      </c>
      <c r="S49" s="37">
        <v>0.5</v>
      </c>
      <c r="T49" s="37">
        <v>0.54166666666666663</v>
      </c>
      <c r="U49" s="35">
        <v>0.70833333333333337</v>
      </c>
      <c r="V49" s="8">
        <f>(U49-R49)-(T49-S49)</f>
        <v>0.33333333333333343</v>
      </c>
      <c r="W49" s="33">
        <v>0.33333333333333331</v>
      </c>
      <c r="X49" s="37">
        <v>0.5</v>
      </c>
      <c r="Y49" s="37">
        <v>0.54166666666666663</v>
      </c>
      <c r="Z49" s="35">
        <v>0.70833333333333337</v>
      </c>
      <c r="AA49" s="8">
        <f>(Z49-W49)-(Y49-X49)</f>
        <v>0.33333333333333343</v>
      </c>
      <c r="AB49" s="11">
        <v>0.5</v>
      </c>
      <c r="AC49" s="9">
        <v>0.66666666666666663</v>
      </c>
      <c r="AD49" s="10">
        <f t="shared" si="60"/>
        <v>0.16666666666666663</v>
      </c>
      <c r="AE49" s="14"/>
      <c r="AF49" s="15"/>
      <c r="AG49" s="18">
        <f t="shared" si="61"/>
        <v>0</v>
      </c>
      <c r="AH49" s="19">
        <f t="shared" si="67"/>
        <v>1.8333333333333339</v>
      </c>
    </row>
    <row r="52" spans="2:34" ht="15.75" thickBot="1"/>
    <row r="53" spans="2:34">
      <c r="B53" s="1"/>
      <c r="C53" s="48">
        <v>31</v>
      </c>
      <c r="D53" s="49"/>
      <c r="E53" s="49"/>
      <c r="F53" s="49"/>
      <c r="G53" s="50"/>
      <c r="H53" s="48">
        <v>1</v>
      </c>
      <c r="I53" s="49"/>
      <c r="J53" s="49"/>
      <c r="K53" s="49"/>
      <c r="L53" s="50"/>
      <c r="M53" s="48">
        <f t="shared" ref="M53" si="69">H53+1</f>
        <v>2</v>
      </c>
      <c r="N53" s="49"/>
      <c r="O53" s="49"/>
      <c r="P53" s="49"/>
      <c r="Q53" s="50"/>
      <c r="R53" s="48">
        <v>3</v>
      </c>
      <c r="S53" s="49"/>
      <c r="T53" s="49"/>
      <c r="U53" s="49"/>
      <c r="V53" s="50"/>
      <c r="W53" s="48">
        <v>4</v>
      </c>
      <c r="X53" s="49"/>
      <c r="Y53" s="49"/>
      <c r="Z53" s="49"/>
      <c r="AA53" s="50"/>
      <c r="AB53" s="49">
        <v>5</v>
      </c>
      <c r="AC53" s="49"/>
      <c r="AD53" s="51"/>
      <c r="AE53" s="52">
        <f>AB53+1</f>
        <v>6</v>
      </c>
      <c r="AF53" s="49"/>
      <c r="AG53" s="50"/>
      <c r="AH53" s="2"/>
    </row>
    <row r="54" spans="2:34" ht="15.75" thickBot="1">
      <c r="B54" s="3"/>
      <c r="C54" s="42" t="s">
        <v>0</v>
      </c>
      <c r="D54" s="43"/>
      <c r="E54" s="43"/>
      <c r="F54" s="43"/>
      <c r="G54" s="44"/>
      <c r="H54" s="45" t="s">
        <v>1</v>
      </c>
      <c r="I54" s="45"/>
      <c r="J54" s="45"/>
      <c r="K54" s="45"/>
      <c r="L54" s="45"/>
      <c r="M54" s="46" t="s">
        <v>2</v>
      </c>
      <c r="N54" s="45"/>
      <c r="O54" s="45"/>
      <c r="P54" s="45"/>
      <c r="Q54" s="47"/>
      <c r="R54" s="43" t="s">
        <v>3</v>
      </c>
      <c r="S54" s="43"/>
      <c r="T54" s="43"/>
      <c r="U54" s="43"/>
      <c r="V54" s="43"/>
      <c r="W54" s="42" t="s">
        <v>4</v>
      </c>
      <c r="X54" s="43"/>
      <c r="Y54" s="43"/>
      <c r="Z54" s="43"/>
      <c r="AA54" s="44"/>
      <c r="AB54" s="42" t="s">
        <v>5</v>
      </c>
      <c r="AC54" s="43"/>
      <c r="AD54" s="44"/>
      <c r="AE54" s="39" t="s">
        <v>6</v>
      </c>
      <c r="AF54" s="40"/>
      <c r="AG54" s="41"/>
      <c r="AH54" s="1"/>
    </row>
    <row r="55" spans="2:34">
      <c r="B55" s="16" t="s">
        <v>7</v>
      </c>
      <c r="C55" s="20" t="s">
        <v>8</v>
      </c>
      <c r="D55" s="21" t="s">
        <v>9</v>
      </c>
      <c r="E55" s="21" t="s">
        <v>10</v>
      </c>
      <c r="F55" s="22" t="s">
        <v>11</v>
      </c>
      <c r="G55" s="17" t="s">
        <v>12</v>
      </c>
      <c r="H55" s="23" t="s">
        <v>8</v>
      </c>
      <c r="I55" s="21" t="s">
        <v>9</v>
      </c>
      <c r="J55" s="21" t="s">
        <v>10</v>
      </c>
      <c r="K55" s="22" t="s">
        <v>11</v>
      </c>
      <c r="L55" s="24" t="s">
        <v>12</v>
      </c>
      <c r="M55" s="25" t="s">
        <v>8</v>
      </c>
      <c r="N55" s="21" t="s">
        <v>9</v>
      </c>
      <c r="O55" s="21" t="s">
        <v>10</v>
      </c>
      <c r="P55" s="22" t="s">
        <v>11</v>
      </c>
      <c r="Q55" s="17" t="s">
        <v>12</v>
      </c>
      <c r="R55" s="23" t="s">
        <v>8</v>
      </c>
      <c r="S55" s="21" t="s">
        <v>9</v>
      </c>
      <c r="T55" s="21" t="s">
        <v>10</v>
      </c>
      <c r="U55" s="22" t="s">
        <v>11</v>
      </c>
      <c r="V55" s="26" t="s">
        <v>12</v>
      </c>
      <c r="W55" s="25" t="s">
        <v>8</v>
      </c>
      <c r="X55" s="21" t="s">
        <v>9</v>
      </c>
      <c r="Y55" s="21" t="s">
        <v>10</v>
      </c>
      <c r="Z55" s="22" t="s">
        <v>11</v>
      </c>
      <c r="AA55" s="27" t="s">
        <v>12</v>
      </c>
      <c r="AB55" s="25" t="s">
        <v>8</v>
      </c>
      <c r="AC55" s="22" t="s">
        <v>11</v>
      </c>
      <c r="AD55" s="27" t="s">
        <v>12</v>
      </c>
      <c r="AE55" s="25" t="s">
        <v>8</v>
      </c>
      <c r="AF55" s="22" t="s">
        <v>11</v>
      </c>
      <c r="AG55" s="17" t="s">
        <v>12</v>
      </c>
      <c r="AH55" s="17" t="s">
        <v>13</v>
      </c>
    </row>
    <row r="56" spans="2:34">
      <c r="B56" s="4" t="s">
        <v>14</v>
      </c>
      <c r="C56" s="38">
        <v>0.41666666666666669</v>
      </c>
      <c r="D56" s="6">
        <v>0.54166666666666663</v>
      </c>
      <c r="E56" s="6">
        <v>0.58333333333333337</v>
      </c>
      <c r="F56" s="7">
        <v>0.79166666666666663</v>
      </c>
      <c r="G56" s="8">
        <f t="shared" ref="G56:G62" si="70">(F56-C56)-(E56-D56)</f>
        <v>0.3333333333333332</v>
      </c>
      <c r="H56" s="38">
        <v>0.41666666666666669</v>
      </c>
      <c r="I56" s="6">
        <v>0.54166666666666663</v>
      </c>
      <c r="J56" s="6">
        <v>0.58333333333333337</v>
      </c>
      <c r="K56" s="7">
        <v>0.79166666666666663</v>
      </c>
      <c r="L56" s="8">
        <f t="shared" ref="L56:L62" si="71">(K56-H56)-(J56-I56)</f>
        <v>0.3333333333333332</v>
      </c>
      <c r="M56" s="38">
        <v>0.41666666666666669</v>
      </c>
      <c r="N56" s="6">
        <v>0.54166666666666663</v>
      </c>
      <c r="O56" s="6">
        <v>0.58333333333333337</v>
      </c>
      <c r="P56" s="7">
        <v>0.79166666666666663</v>
      </c>
      <c r="Q56" s="8">
        <f t="shared" ref="Q56:Q62" si="72">(P56-M56)-(O56-N56)</f>
        <v>0.3333333333333332</v>
      </c>
      <c r="R56" s="38">
        <v>0.41666666666666669</v>
      </c>
      <c r="S56" s="6">
        <v>0.54166666666666663</v>
      </c>
      <c r="T56" s="6">
        <v>0.58333333333333337</v>
      </c>
      <c r="U56" s="7">
        <v>0.79166666666666663</v>
      </c>
      <c r="V56" s="8">
        <f t="shared" ref="V56:V62" si="73">(U56-R56)-(T56-S56)</f>
        <v>0.3333333333333332</v>
      </c>
      <c r="W56" s="38">
        <v>0.41666666666666669</v>
      </c>
      <c r="X56" s="6">
        <v>0.54166666666666663</v>
      </c>
      <c r="Y56" s="6">
        <v>0.58333333333333337</v>
      </c>
      <c r="Z56" s="7">
        <v>0.79166666666666663</v>
      </c>
      <c r="AA56" s="8">
        <f t="shared" ref="AA56:AA62" si="74">(Z56-W56)-(Y56-X56)</f>
        <v>0.3333333333333332</v>
      </c>
      <c r="AB56" s="11">
        <v>0.33333333333333331</v>
      </c>
      <c r="AC56" s="9">
        <v>0.5</v>
      </c>
      <c r="AD56" s="10">
        <f t="shared" ref="AD56:AD62" si="75">AC56-AB56</f>
        <v>0.16666666666666669</v>
      </c>
      <c r="AE56" s="11"/>
      <c r="AF56" s="9"/>
      <c r="AG56" s="10">
        <f t="shared" ref="AG56:AG62" si="76">AF56-AE56</f>
        <v>0</v>
      </c>
      <c r="AH56" s="12">
        <f t="shared" ref="AH56" si="77">G56+L56+Q56+V56+AA56+AD56+AG56</f>
        <v>1.8333333333333328</v>
      </c>
    </row>
    <row r="57" spans="2:34">
      <c r="B57" s="4" t="s">
        <v>15</v>
      </c>
      <c r="C57" s="33">
        <v>0.33333333333333331</v>
      </c>
      <c r="D57" s="34">
        <v>0.54166666666666663</v>
      </c>
      <c r="E57" s="34">
        <v>0.58333333333333337</v>
      </c>
      <c r="F57" s="35">
        <v>0.75</v>
      </c>
      <c r="G57" s="8">
        <f t="shared" si="70"/>
        <v>0.37499999999999994</v>
      </c>
      <c r="H57" s="33">
        <v>0.33333333333333331</v>
      </c>
      <c r="I57" s="34">
        <v>0.54166666666666663</v>
      </c>
      <c r="J57" s="34">
        <v>0.58333333333333337</v>
      </c>
      <c r="K57" s="35">
        <v>0.75</v>
      </c>
      <c r="L57" s="8">
        <f t="shared" si="71"/>
        <v>0.37499999999999994</v>
      </c>
      <c r="M57" s="33">
        <v>0.33333333333333331</v>
      </c>
      <c r="N57" s="34">
        <v>0.54166666666666663</v>
      </c>
      <c r="O57" s="34">
        <v>0.58333333333333337</v>
      </c>
      <c r="P57" s="35">
        <v>0.75</v>
      </c>
      <c r="Q57" s="8">
        <f t="shared" si="72"/>
        <v>0.37499999999999994</v>
      </c>
      <c r="R57" s="33">
        <v>0.33333333333333331</v>
      </c>
      <c r="S57" s="34">
        <v>0.54166666666666663</v>
      </c>
      <c r="T57" s="34">
        <v>0.58333333333333337</v>
      </c>
      <c r="U57" s="35">
        <v>0.75</v>
      </c>
      <c r="V57" s="8">
        <f t="shared" si="73"/>
        <v>0.37499999999999994</v>
      </c>
      <c r="W57" s="33">
        <v>0.33333333333333331</v>
      </c>
      <c r="X57" s="34">
        <v>0.54166666666666663</v>
      </c>
      <c r="Y57" s="34">
        <v>0.58333333333333337</v>
      </c>
      <c r="Z57" s="35">
        <v>0.75</v>
      </c>
      <c r="AA57" s="8">
        <f t="shared" si="74"/>
        <v>0.37499999999999994</v>
      </c>
      <c r="AB57" s="11"/>
      <c r="AC57" s="9"/>
      <c r="AD57" s="10">
        <f t="shared" si="75"/>
        <v>0</v>
      </c>
      <c r="AE57" s="11"/>
      <c r="AF57" s="9"/>
      <c r="AG57" s="10">
        <f t="shared" si="76"/>
        <v>0</v>
      </c>
      <c r="AH57" s="12">
        <f>G57+L57+Q57+V57+AA57+AD57+AG57</f>
        <v>1.8749999999999998</v>
      </c>
    </row>
    <row r="58" spans="2:34">
      <c r="B58" s="4" t="s">
        <v>17</v>
      </c>
      <c r="C58" s="33">
        <v>0.33333333333333331</v>
      </c>
      <c r="D58" s="37">
        <v>0.5</v>
      </c>
      <c r="E58" s="37">
        <v>0.54166666666666663</v>
      </c>
      <c r="F58" s="35">
        <v>0.70833333333333337</v>
      </c>
      <c r="G58" s="8">
        <f t="shared" si="70"/>
        <v>0.33333333333333343</v>
      </c>
      <c r="H58" s="33">
        <v>0.33333333333333331</v>
      </c>
      <c r="I58" s="37">
        <v>0.5</v>
      </c>
      <c r="J58" s="37">
        <v>0.54166666666666663</v>
      </c>
      <c r="K58" s="35">
        <v>0.70833333333333337</v>
      </c>
      <c r="L58" s="8">
        <f t="shared" si="71"/>
        <v>0.33333333333333343</v>
      </c>
      <c r="M58" s="33">
        <v>0.33333333333333331</v>
      </c>
      <c r="N58" s="37">
        <v>0.5</v>
      </c>
      <c r="O58" s="37">
        <v>0.54166666666666663</v>
      </c>
      <c r="P58" s="35">
        <v>0.70833333333333337</v>
      </c>
      <c r="Q58" s="8">
        <f t="shared" si="72"/>
        <v>0.33333333333333343</v>
      </c>
      <c r="R58" s="33">
        <v>0.33333333333333331</v>
      </c>
      <c r="S58" s="37">
        <v>0.5</v>
      </c>
      <c r="T58" s="37">
        <v>0.54166666666666663</v>
      </c>
      <c r="U58" s="35">
        <v>0.70833333333333337</v>
      </c>
      <c r="V58" s="8">
        <f t="shared" si="73"/>
        <v>0.33333333333333343</v>
      </c>
      <c r="W58" s="33">
        <v>0.33333333333333331</v>
      </c>
      <c r="X58" s="37">
        <v>0.5</v>
      </c>
      <c r="Y58" s="37">
        <v>0.54166666666666663</v>
      </c>
      <c r="Z58" s="35">
        <v>0.70833333333333337</v>
      </c>
      <c r="AA58" s="8">
        <f t="shared" si="74"/>
        <v>0.33333333333333343</v>
      </c>
      <c r="AB58" s="11">
        <v>0.5</v>
      </c>
      <c r="AC58" s="9">
        <v>0.66666666666666663</v>
      </c>
      <c r="AD58" s="10">
        <f t="shared" si="75"/>
        <v>0.16666666666666663</v>
      </c>
      <c r="AE58" s="11"/>
      <c r="AF58" s="9"/>
      <c r="AG58" s="10">
        <f t="shared" si="76"/>
        <v>0</v>
      </c>
      <c r="AH58" s="12">
        <f t="shared" ref="AH58:AH62" si="78">G58+L58+Q58+V58+AA58+AD58+AG58</f>
        <v>1.8333333333333339</v>
      </c>
    </row>
    <row r="59" spans="2:34">
      <c r="B59" s="30" t="s">
        <v>18</v>
      </c>
      <c r="C59" s="5">
        <v>0.29166666666666669</v>
      </c>
      <c r="D59" s="13">
        <v>0.5</v>
      </c>
      <c r="E59" s="13">
        <v>0.54166666666666663</v>
      </c>
      <c r="F59" s="7">
        <v>0.66666666666666663</v>
      </c>
      <c r="G59" s="8">
        <f t="shared" si="70"/>
        <v>0.33333333333333331</v>
      </c>
      <c r="H59" s="5">
        <v>0.29166666666666669</v>
      </c>
      <c r="I59" s="13">
        <v>0.5</v>
      </c>
      <c r="J59" s="13">
        <v>0.54166666666666663</v>
      </c>
      <c r="K59" s="7">
        <v>0.66666666666666663</v>
      </c>
      <c r="L59" s="8">
        <f t="shared" si="71"/>
        <v>0.33333333333333331</v>
      </c>
      <c r="M59" s="5">
        <v>0.29166666666666669</v>
      </c>
      <c r="N59" s="13">
        <v>0.5</v>
      </c>
      <c r="O59" s="13">
        <v>0.54166666666666663</v>
      </c>
      <c r="P59" s="7">
        <v>0.66666666666666663</v>
      </c>
      <c r="Q59" s="8">
        <f t="shared" si="72"/>
        <v>0.33333333333333331</v>
      </c>
      <c r="R59" s="5">
        <v>0.29166666666666669</v>
      </c>
      <c r="S59" s="13">
        <v>0.5</v>
      </c>
      <c r="T59" s="13">
        <v>0.54166666666666663</v>
      </c>
      <c r="U59" s="7">
        <v>0.66666666666666663</v>
      </c>
      <c r="V59" s="8">
        <f t="shared" si="73"/>
        <v>0.33333333333333331</v>
      </c>
      <c r="W59" s="5">
        <v>0.29166666666666669</v>
      </c>
      <c r="X59" s="13">
        <v>0.5</v>
      </c>
      <c r="Y59" s="13">
        <v>0.54166666666666663</v>
      </c>
      <c r="Z59" s="7">
        <v>0.66666666666666663</v>
      </c>
      <c r="AA59" s="8">
        <f t="shared" si="74"/>
        <v>0.33333333333333331</v>
      </c>
      <c r="AB59" s="11">
        <v>0.33333333333333331</v>
      </c>
      <c r="AC59" s="9">
        <v>0.54166666666666663</v>
      </c>
      <c r="AD59" s="10">
        <f t="shared" si="75"/>
        <v>0.20833333333333331</v>
      </c>
      <c r="AE59" s="11"/>
      <c r="AF59" s="9"/>
      <c r="AG59" s="10">
        <f t="shared" si="76"/>
        <v>0</v>
      </c>
      <c r="AH59" s="12">
        <f t="shared" si="78"/>
        <v>1.8749999999999998</v>
      </c>
    </row>
    <row r="60" spans="2:34">
      <c r="B60" s="30" t="s">
        <v>19</v>
      </c>
      <c r="C60" s="33">
        <v>0.33333333333333331</v>
      </c>
      <c r="D60" s="34">
        <v>0.54166666666666663</v>
      </c>
      <c r="E60" s="34">
        <v>0.58333333333333337</v>
      </c>
      <c r="F60" s="35">
        <v>0.75</v>
      </c>
      <c r="G60" s="8">
        <f t="shared" si="70"/>
        <v>0.37499999999999994</v>
      </c>
      <c r="H60" s="33">
        <v>0.33333333333333331</v>
      </c>
      <c r="I60" s="34">
        <v>0.54166666666666663</v>
      </c>
      <c r="J60" s="34">
        <v>0.58333333333333337</v>
      </c>
      <c r="K60" s="35">
        <v>0.75</v>
      </c>
      <c r="L60" s="8">
        <f t="shared" si="71"/>
        <v>0.37499999999999994</v>
      </c>
      <c r="M60" s="53" t="s">
        <v>22</v>
      </c>
      <c r="N60" s="54"/>
      <c r="O60" s="54"/>
      <c r="P60" s="54"/>
      <c r="Q60" s="55"/>
      <c r="R60" s="33">
        <v>0.33333333333333331</v>
      </c>
      <c r="S60" s="34">
        <v>0.54166666666666663</v>
      </c>
      <c r="T60" s="34">
        <v>0.58333333333333337</v>
      </c>
      <c r="U60" s="35">
        <v>0.75</v>
      </c>
      <c r="V60" s="8">
        <f t="shared" si="73"/>
        <v>0.37499999999999994</v>
      </c>
      <c r="W60" s="33">
        <v>0.33333333333333331</v>
      </c>
      <c r="X60" s="34">
        <v>0.54166666666666663</v>
      </c>
      <c r="Y60" s="34">
        <v>0.58333333333333337</v>
      </c>
      <c r="Z60" s="35">
        <v>0.75</v>
      </c>
      <c r="AA60" s="8">
        <f t="shared" si="74"/>
        <v>0.37499999999999994</v>
      </c>
      <c r="AB60" s="11"/>
      <c r="AC60" s="9"/>
      <c r="AD60" s="10">
        <f t="shared" si="75"/>
        <v>0</v>
      </c>
      <c r="AE60" s="11"/>
      <c r="AF60" s="9"/>
      <c r="AG60" s="10">
        <f t="shared" si="76"/>
        <v>0</v>
      </c>
      <c r="AH60" s="12">
        <f t="shared" si="78"/>
        <v>1.4999999999999998</v>
      </c>
    </row>
    <row r="61" spans="2:34" ht="15.75" thickBot="1">
      <c r="B61" s="30" t="s">
        <v>20</v>
      </c>
      <c r="C61" s="33">
        <v>0.33333333333333331</v>
      </c>
      <c r="D61" s="13">
        <v>0.5</v>
      </c>
      <c r="E61" s="13">
        <v>0.54166666666666663</v>
      </c>
      <c r="F61" s="35">
        <v>0.75</v>
      </c>
      <c r="G61" s="8">
        <f t="shared" si="70"/>
        <v>0.37500000000000006</v>
      </c>
      <c r="H61" s="33">
        <v>0.33333333333333331</v>
      </c>
      <c r="I61" s="13">
        <v>0.5</v>
      </c>
      <c r="J61" s="13">
        <v>0.54166666666666663</v>
      </c>
      <c r="K61" s="35">
        <v>0.75</v>
      </c>
      <c r="L61" s="8">
        <f t="shared" si="71"/>
        <v>0.37500000000000006</v>
      </c>
      <c r="M61" s="33">
        <v>0.33333333333333331</v>
      </c>
      <c r="N61" s="13">
        <v>0.5</v>
      </c>
      <c r="O61" s="13">
        <v>0.54166666666666663</v>
      </c>
      <c r="P61" s="35">
        <v>0.75</v>
      </c>
      <c r="Q61" s="8">
        <f t="shared" si="72"/>
        <v>0.37500000000000006</v>
      </c>
      <c r="R61" s="33">
        <v>0.33333333333333331</v>
      </c>
      <c r="S61" s="13">
        <v>0.5</v>
      </c>
      <c r="T61" s="13">
        <v>0.54166666666666663</v>
      </c>
      <c r="U61" s="35">
        <v>0.75</v>
      </c>
      <c r="V61" s="8">
        <f t="shared" si="73"/>
        <v>0.37500000000000006</v>
      </c>
      <c r="W61" s="33">
        <v>0.33333333333333331</v>
      </c>
      <c r="X61" s="13">
        <v>0.5</v>
      </c>
      <c r="Y61" s="13">
        <v>0.54166666666666663</v>
      </c>
      <c r="Z61" s="35">
        <v>0.75</v>
      </c>
      <c r="AA61" s="8">
        <f t="shared" si="74"/>
        <v>0.37500000000000006</v>
      </c>
      <c r="AB61" s="11"/>
      <c r="AC61" s="9"/>
      <c r="AD61" s="10">
        <f t="shared" si="75"/>
        <v>0</v>
      </c>
      <c r="AE61" s="11"/>
      <c r="AF61" s="9"/>
      <c r="AG61" s="10">
        <f t="shared" si="76"/>
        <v>0</v>
      </c>
      <c r="AH61" s="19">
        <f t="shared" si="78"/>
        <v>1.8750000000000002</v>
      </c>
    </row>
    <row r="62" spans="2:34" ht="15.75" thickBot="1">
      <c r="B62" s="4" t="s">
        <v>21</v>
      </c>
      <c r="C62" s="5">
        <v>0.29166666666666669</v>
      </c>
      <c r="D62" s="13">
        <v>0.5</v>
      </c>
      <c r="E62" s="13">
        <v>0.54166666666666663</v>
      </c>
      <c r="F62" s="7">
        <v>0.70833333333333337</v>
      </c>
      <c r="G62" s="8">
        <f t="shared" si="70"/>
        <v>0.37500000000000006</v>
      </c>
      <c r="H62" s="5">
        <v>0.29166666666666669</v>
      </c>
      <c r="I62" s="13">
        <v>0.5</v>
      </c>
      <c r="J62" s="13">
        <v>0.54166666666666663</v>
      </c>
      <c r="K62" s="7">
        <v>0.70833333333333337</v>
      </c>
      <c r="L62" s="8">
        <f t="shared" si="71"/>
        <v>0.37500000000000006</v>
      </c>
      <c r="M62" s="5">
        <v>0.29166666666666669</v>
      </c>
      <c r="N62" s="13">
        <v>0.5</v>
      </c>
      <c r="O62" s="13">
        <v>0.54166666666666663</v>
      </c>
      <c r="P62" s="7">
        <v>0.70833333333333337</v>
      </c>
      <c r="Q62" s="8">
        <f t="shared" si="72"/>
        <v>0.37500000000000006</v>
      </c>
      <c r="R62" s="5">
        <v>0.29166666666666669</v>
      </c>
      <c r="S62" s="13">
        <v>0.5</v>
      </c>
      <c r="T62" s="13">
        <v>0.54166666666666663</v>
      </c>
      <c r="U62" s="7">
        <v>0.70833333333333337</v>
      </c>
      <c r="V62" s="8">
        <f t="shared" si="73"/>
        <v>0.37500000000000006</v>
      </c>
      <c r="W62" s="5">
        <v>0.29166666666666669</v>
      </c>
      <c r="X62" s="13">
        <v>0.5</v>
      </c>
      <c r="Y62" s="13">
        <v>0.54166666666666663</v>
      </c>
      <c r="Z62" s="7">
        <v>0.70833333333333337</v>
      </c>
      <c r="AA62" s="8">
        <f t="shared" si="74"/>
        <v>0.37500000000000006</v>
      </c>
      <c r="AB62" s="11"/>
      <c r="AC62" s="9"/>
      <c r="AD62" s="10">
        <f t="shared" si="75"/>
        <v>0</v>
      </c>
      <c r="AE62" s="11"/>
      <c r="AF62" s="9"/>
      <c r="AG62" s="10">
        <f t="shared" si="76"/>
        <v>0</v>
      </c>
      <c r="AH62" s="19">
        <f t="shared" si="78"/>
        <v>1.8750000000000002</v>
      </c>
    </row>
  </sheetData>
  <mergeCells count="89">
    <mergeCell ref="M60:Q60"/>
    <mergeCell ref="M34:Q34"/>
    <mergeCell ref="R34:V34"/>
    <mergeCell ref="W34:AA34"/>
    <mergeCell ref="H19:L19"/>
    <mergeCell ref="M19:Q19"/>
    <mergeCell ref="R19:V19"/>
    <mergeCell ref="W19:AA19"/>
    <mergeCell ref="H31:L31"/>
    <mergeCell ref="M31:Q31"/>
    <mergeCell ref="R31:V31"/>
    <mergeCell ref="W31:AA31"/>
    <mergeCell ref="W4:AA4"/>
    <mergeCell ref="C3:G3"/>
    <mergeCell ref="H3:L3"/>
    <mergeCell ref="M3:Q3"/>
    <mergeCell ref="R3:V3"/>
    <mergeCell ref="W3:AA3"/>
    <mergeCell ref="C4:G4"/>
    <mergeCell ref="H4:L4"/>
    <mergeCell ref="M4:Q4"/>
    <mergeCell ref="R4:V4"/>
    <mergeCell ref="AB15:AD15"/>
    <mergeCell ref="AE15:AG15"/>
    <mergeCell ref="AB3:AD3"/>
    <mergeCell ref="AE3:AG3"/>
    <mergeCell ref="AE4:AG4"/>
    <mergeCell ref="AB4:AD4"/>
    <mergeCell ref="W7:AA7"/>
    <mergeCell ref="C15:G15"/>
    <mergeCell ref="H15:L15"/>
    <mergeCell ref="M15:Q15"/>
    <mergeCell ref="R15:V15"/>
    <mergeCell ref="W15:AA15"/>
    <mergeCell ref="C7:G7"/>
    <mergeCell ref="H7:L7"/>
    <mergeCell ref="M7:Q7"/>
    <mergeCell ref="R7:V7"/>
    <mergeCell ref="AE16:AG16"/>
    <mergeCell ref="C27:G27"/>
    <mergeCell ref="H27:L27"/>
    <mergeCell ref="M27:Q27"/>
    <mergeCell ref="R27:V27"/>
    <mergeCell ref="W27:AA27"/>
    <mergeCell ref="AB27:AD27"/>
    <mergeCell ref="AE27:AG27"/>
    <mergeCell ref="C16:G16"/>
    <mergeCell ref="H16:L16"/>
    <mergeCell ref="M16:Q16"/>
    <mergeCell ref="R16:V16"/>
    <mergeCell ref="W16:AA16"/>
    <mergeCell ref="AB16:AD16"/>
    <mergeCell ref="C19:G19"/>
    <mergeCell ref="AE28:AG28"/>
    <mergeCell ref="C40:G40"/>
    <mergeCell ref="H40:L40"/>
    <mergeCell ref="M40:Q40"/>
    <mergeCell ref="R40:V40"/>
    <mergeCell ref="W40:AA40"/>
    <mergeCell ref="AB40:AD40"/>
    <mergeCell ref="AE40:AG40"/>
    <mergeCell ref="C28:G28"/>
    <mergeCell ref="H28:L28"/>
    <mergeCell ref="M28:Q28"/>
    <mergeCell ref="R28:V28"/>
    <mergeCell ref="W28:AA28"/>
    <mergeCell ref="AB28:AD28"/>
    <mergeCell ref="AE41:AG41"/>
    <mergeCell ref="C53:G53"/>
    <mergeCell ref="H53:L53"/>
    <mergeCell ref="M53:Q53"/>
    <mergeCell ref="R53:V53"/>
    <mergeCell ref="W53:AA53"/>
    <mergeCell ref="AB53:AD53"/>
    <mergeCell ref="AE53:AG53"/>
    <mergeCell ref="C41:G41"/>
    <mergeCell ref="H41:L41"/>
    <mergeCell ref="M41:Q41"/>
    <mergeCell ref="R41:V41"/>
    <mergeCell ref="W41:AA41"/>
    <mergeCell ref="AB41:AD41"/>
    <mergeCell ref="C44:G44"/>
    <mergeCell ref="AE54:AG54"/>
    <mergeCell ref="C54:G54"/>
    <mergeCell ref="H54:L54"/>
    <mergeCell ref="M54:Q54"/>
    <mergeCell ref="R54:V54"/>
    <mergeCell ref="W54:AA54"/>
    <mergeCell ref="AB54:AD54"/>
  </mergeCells>
  <conditionalFormatting sqref="B46">
    <cfRule type="duplicateValues" dxfId="74" priority="106"/>
  </conditionalFormatting>
  <conditionalFormatting sqref="B46">
    <cfRule type="duplicateValues" dxfId="73" priority="107"/>
    <cfRule type="cellIs" dxfId="72" priority="108" operator="equal">
      <formula>562373785</formula>
    </cfRule>
  </conditionalFormatting>
  <conditionalFormatting sqref="B43">
    <cfRule type="duplicateValues" dxfId="71" priority="104"/>
    <cfRule type="cellIs" dxfId="70" priority="105" operator="equal">
      <formula>562373785</formula>
    </cfRule>
  </conditionalFormatting>
  <conditionalFormatting sqref="B43">
    <cfRule type="duplicateValues" dxfId="69" priority="103"/>
  </conditionalFormatting>
  <conditionalFormatting sqref="B44:B45 B47">
    <cfRule type="duplicateValues" dxfId="68" priority="99"/>
  </conditionalFormatting>
  <conditionalFormatting sqref="B44:B45 B47">
    <cfRule type="duplicateValues" dxfId="67" priority="97"/>
    <cfRule type="cellIs" dxfId="66" priority="98" operator="equal">
      <formula>562373785</formula>
    </cfRule>
  </conditionalFormatting>
  <conditionalFormatting sqref="B49">
    <cfRule type="duplicateValues" dxfId="65" priority="94"/>
  </conditionalFormatting>
  <conditionalFormatting sqref="B49">
    <cfRule type="duplicateValues" dxfId="64" priority="95"/>
    <cfRule type="cellIs" dxfId="63" priority="96" operator="equal">
      <formula>562373785</formula>
    </cfRule>
  </conditionalFormatting>
  <conditionalFormatting sqref="B48">
    <cfRule type="duplicateValues" dxfId="62" priority="93"/>
  </conditionalFormatting>
  <conditionalFormatting sqref="B48">
    <cfRule type="duplicateValues" dxfId="61" priority="91"/>
    <cfRule type="cellIs" dxfId="60" priority="92" operator="equal">
      <formula>562373785</formula>
    </cfRule>
  </conditionalFormatting>
  <conditionalFormatting sqref="B59">
    <cfRule type="duplicateValues" dxfId="59" priority="88"/>
  </conditionalFormatting>
  <conditionalFormatting sqref="B59">
    <cfRule type="duplicateValues" dxfId="58" priority="89"/>
    <cfRule type="cellIs" dxfId="57" priority="90" operator="equal">
      <formula>562373785</formula>
    </cfRule>
  </conditionalFormatting>
  <conditionalFormatting sqref="B56">
    <cfRule type="duplicateValues" dxfId="56" priority="86"/>
    <cfRule type="cellIs" dxfId="55" priority="87" operator="equal">
      <formula>562373785</formula>
    </cfRule>
  </conditionalFormatting>
  <conditionalFormatting sqref="B56">
    <cfRule type="duplicateValues" dxfId="54" priority="85"/>
  </conditionalFormatting>
  <conditionalFormatting sqref="B57:B58 B60">
    <cfRule type="duplicateValues" dxfId="53" priority="81"/>
  </conditionalFormatting>
  <conditionalFormatting sqref="B57:B58 B60">
    <cfRule type="duplicateValues" dxfId="52" priority="79"/>
    <cfRule type="cellIs" dxfId="51" priority="80" operator="equal">
      <formula>562373785</formula>
    </cfRule>
  </conditionalFormatting>
  <conditionalFormatting sqref="B62">
    <cfRule type="duplicateValues" dxfId="50" priority="76"/>
  </conditionalFormatting>
  <conditionalFormatting sqref="B62">
    <cfRule type="duplicateValues" dxfId="49" priority="77"/>
    <cfRule type="cellIs" dxfId="48" priority="78" operator="equal">
      <formula>562373785</formula>
    </cfRule>
  </conditionalFormatting>
  <conditionalFormatting sqref="B61">
    <cfRule type="duplicateValues" dxfId="47" priority="75"/>
  </conditionalFormatting>
  <conditionalFormatting sqref="B61">
    <cfRule type="duplicateValues" dxfId="46" priority="73"/>
    <cfRule type="cellIs" dxfId="45" priority="74" operator="equal">
      <formula>562373785</formula>
    </cfRule>
  </conditionalFormatting>
  <conditionalFormatting sqref="B9">
    <cfRule type="duplicateValues" dxfId="44" priority="70"/>
  </conditionalFormatting>
  <conditionalFormatting sqref="B9">
    <cfRule type="duplicateValues" dxfId="43" priority="71"/>
    <cfRule type="cellIs" dxfId="42" priority="72" operator="equal">
      <formula>562373785</formula>
    </cfRule>
  </conditionalFormatting>
  <conditionalFormatting sqref="B6">
    <cfRule type="duplicateValues" dxfId="41" priority="68"/>
    <cfRule type="cellIs" dxfId="40" priority="69" operator="equal">
      <formula>562373785</formula>
    </cfRule>
  </conditionalFormatting>
  <conditionalFormatting sqref="B6">
    <cfRule type="duplicateValues" dxfId="39" priority="67"/>
  </conditionalFormatting>
  <conditionalFormatting sqref="B7:B8 B10">
    <cfRule type="duplicateValues" dxfId="38" priority="63"/>
  </conditionalFormatting>
  <conditionalFormatting sqref="B7:B8 B10">
    <cfRule type="duplicateValues" dxfId="37" priority="61"/>
    <cfRule type="cellIs" dxfId="36" priority="62" operator="equal">
      <formula>562373785</formula>
    </cfRule>
  </conditionalFormatting>
  <conditionalFormatting sqref="B12">
    <cfRule type="duplicateValues" dxfId="35" priority="58"/>
  </conditionalFormatting>
  <conditionalFormatting sqref="B12">
    <cfRule type="duplicateValues" dxfId="34" priority="59"/>
    <cfRule type="cellIs" dxfId="33" priority="60" operator="equal">
      <formula>562373785</formula>
    </cfRule>
  </conditionalFormatting>
  <conditionalFormatting sqref="B11">
    <cfRule type="duplicateValues" dxfId="32" priority="57"/>
  </conditionalFormatting>
  <conditionalFormatting sqref="B11">
    <cfRule type="duplicateValues" dxfId="31" priority="55"/>
    <cfRule type="cellIs" dxfId="30" priority="56" operator="equal">
      <formula>562373785</formula>
    </cfRule>
  </conditionalFormatting>
  <conditionalFormatting sqref="B21">
    <cfRule type="duplicateValues" dxfId="29" priority="34"/>
  </conditionalFormatting>
  <conditionalFormatting sqref="B21">
    <cfRule type="duplicateValues" dxfId="28" priority="35"/>
    <cfRule type="cellIs" dxfId="27" priority="36" operator="equal">
      <formula>562373785</formula>
    </cfRule>
  </conditionalFormatting>
  <conditionalFormatting sqref="B18">
    <cfRule type="duplicateValues" dxfId="26" priority="32"/>
    <cfRule type="cellIs" dxfId="25" priority="33" operator="equal">
      <formula>562373785</formula>
    </cfRule>
  </conditionalFormatting>
  <conditionalFormatting sqref="B18">
    <cfRule type="duplicateValues" dxfId="24" priority="31"/>
  </conditionalFormatting>
  <conditionalFormatting sqref="B19:B20 B22">
    <cfRule type="duplicateValues" dxfId="23" priority="27"/>
  </conditionalFormatting>
  <conditionalFormatting sqref="B19:B20 B22">
    <cfRule type="duplicateValues" dxfId="22" priority="25"/>
    <cfRule type="cellIs" dxfId="21" priority="26" operator="equal">
      <formula>562373785</formula>
    </cfRule>
  </conditionalFormatting>
  <conditionalFormatting sqref="B24">
    <cfRule type="duplicateValues" dxfId="20" priority="22"/>
  </conditionalFormatting>
  <conditionalFormatting sqref="B24">
    <cfRule type="duplicateValues" dxfId="19" priority="23"/>
    <cfRule type="cellIs" dxfId="18" priority="24" operator="equal">
      <formula>562373785</formula>
    </cfRule>
  </conditionalFormatting>
  <conditionalFormatting sqref="B23">
    <cfRule type="duplicateValues" dxfId="17" priority="21"/>
  </conditionalFormatting>
  <conditionalFormatting sqref="B23">
    <cfRule type="duplicateValues" dxfId="16" priority="19"/>
    <cfRule type="cellIs" dxfId="15" priority="20" operator="equal">
      <formula>562373785</formula>
    </cfRule>
  </conditionalFormatting>
  <conditionalFormatting sqref="B33">
    <cfRule type="duplicateValues" dxfId="14" priority="16"/>
  </conditionalFormatting>
  <conditionalFormatting sqref="B33">
    <cfRule type="duplicateValues" dxfId="13" priority="17"/>
    <cfRule type="cellIs" dxfId="12" priority="18" operator="equal">
      <formula>562373785</formula>
    </cfRule>
  </conditionalFormatting>
  <conditionalFormatting sqref="B30">
    <cfRule type="duplicateValues" dxfId="11" priority="14"/>
    <cfRule type="cellIs" dxfId="10" priority="15" operator="equal">
      <formula>562373785</formula>
    </cfRule>
  </conditionalFormatting>
  <conditionalFormatting sqref="B30">
    <cfRule type="duplicateValues" dxfId="9" priority="13"/>
  </conditionalFormatting>
  <conditionalFormatting sqref="B31:B32 B34">
    <cfRule type="duplicateValues" dxfId="8" priority="9"/>
  </conditionalFormatting>
  <conditionalFormatting sqref="B31:B32 B34">
    <cfRule type="duplicateValues" dxfId="7" priority="7"/>
    <cfRule type="cellIs" dxfId="6" priority="8" operator="equal">
      <formula>562373785</formula>
    </cfRule>
  </conditionalFormatting>
  <conditionalFormatting sqref="B36">
    <cfRule type="duplicateValues" dxfId="5" priority="4"/>
  </conditionalFormatting>
  <conditionalFormatting sqref="B36">
    <cfRule type="duplicateValues" dxfId="4" priority="5"/>
    <cfRule type="cellIs" dxfId="3" priority="6" operator="equal">
      <formula>562373785</formula>
    </cfRule>
  </conditionalFormatting>
  <conditionalFormatting sqref="B35">
    <cfRule type="duplicateValues" dxfId="2" priority="3"/>
  </conditionalFormatting>
  <conditionalFormatting sqref="B35">
    <cfRule type="duplicateValues" dxfId="1" priority="1"/>
    <cfRule type="cellIs" dxfId="0" priority="2" operator="equal">
      <formula>562373785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54C6FD6B322245B1AF6A46DD3254F2" ma:contentTypeVersion="8" ma:contentTypeDescription="Crear nuevo documento." ma:contentTypeScope="" ma:versionID="cd288fa27133bdaad95829e304d8069d">
  <xsd:schema xmlns:xsd="http://www.w3.org/2001/XMLSchema" xmlns:xs="http://www.w3.org/2001/XMLSchema" xmlns:p="http://schemas.microsoft.com/office/2006/metadata/properties" xmlns:ns2="3cc5e74f-369f-487d-b5b4-a163d4a64917" xmlns:ns3="faa31dee-d900-4a4b-997f-d1f991c7b9f8" targetNamespace="http://schemas.microsoft.com/office/2006/metadata/properties" ma:root="true" ma:fieldsID="c283d1bd7adf40e70f2d2f955536c1cb" ns2:_="" ns3:_="">
    <xsd:import namespace="3cc5e74f-369f-487d-b5b4-a163d4a64917"/>
    <xsd:import namespace="faa31dee-d900-4a4b-997f-d1f991c7b9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5e74f-369f-487d-b5b4-a163d4a649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31dee-d900-4a4b-997f-d1f991c7b9f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810BDE-699D-48F8-B810-47CF1AD93654}"/>
</file>

<file path=customXml/itemProps2.xml><?xml version="1.0" encoding="utf-8"?>
<ds:datastoreItem xmlns:ds="http://schemas.openxmlformats.org/officeDocument/2006/customXml" ds:itemID="{890FC983-2E64-47D7-A710-8C02358A0C97}"/>
</file>

<file path=customXml/itemProps3.xml><?xml version="1.0" encoding="utf-8"?>
<ds:datastoreItem xmlns:ds="http://schemas.openxmlformats.org/officeDocument/2006/customXml" ds:itemID="{2C3FA810-4DA7-49DD-8CD9-1DC8F72CD7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July Alexandra Medina Zoa</dc:creator>
  <cp:keywords/>
  <dc:description/>
  <cp:lastModifiedBy>Licet Vanessa Sandoval Rios</cp:lastModifiedBy>
  <cp:revision/>
  <dcterms:created xsi:type="dcterms:W3CDTF">2020-12-21T19:57:23Z</dcterms:created>
  <dcterms:modified xsi:type="dcterms:W3CDTF">2021-05-03T02:49:46Z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0x0101003C54C6FD6B322245B1AF6A46DD3254F2</vt:lpwstr>
  </property>
</Properties>
</file>